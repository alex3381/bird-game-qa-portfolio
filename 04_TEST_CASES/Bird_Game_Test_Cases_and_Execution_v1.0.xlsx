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odi\OneDrive\Desktop\bird-game-qa-portfolio-folder-structure\bird-game-qa-portfolio\04_TEST_CASES\"/>
    </mc:Choice>
  </mc:AlternateContent>
  <xr:revisionPtr revIDLastSave="0" documentId="13_ncr:1_{9F441FB6-69AA-48E9-8D1C-3D8CDA9E83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  <sheet name="Execution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9" i="2" s="1"/>
</calcChain>
</file>

<file path=xl/sharedStrings.xml><?xml version="1.0" encoding="utf-8"?>
<sst xmlns="http://schemas.openxmlformats.org/spreadsheetml/2006/main" count="521" uniqueCount="334">
  <si>
    <t>Bird Game - Detailed Test Cases &amp; Execution v1.0</t>
  </si>
  <si>
    <t>Test Case ID</t>
  </si>
  <si>
    <t>Scenario ID</t>
  </si>
  <si>
    <t>Requirement(s)</t>
  </si>
  <si>
    <t>Jira Story</t>
  </si>
  <si>
    <t>Test Case Title</t>
  </si>
  <si>
    <t>Priority</t>
  </si>
  <si>
    <t>Test Type</t>
  </si>
  <si>
    <t>Preconditions</t>
  </si>
  <si>
    <t>Test Data</t>
  </si>
  <si>
    <t>Test Steps</t>
  </si>
  <si>
    <t>Expected Result</t>
  </si>
  <si>
    <t>Actual Result</t>
  </si>
  <si>
    <t>Status</t>
  </si>
  <si>
    <t>Evidence</t>
  </si>
  <si>
    <t>Defect ID</t>
  </si>
  <si>
    <t>Notes</t>
  </si>
  <si>
    <t>TC-START-001</t>
  </si>
  <si>
    <t>TS-START-001</t>
  </si>
  <si>
    <t>BR-FR-001</t>
  </si>
  <si>
    <t>BG-8</t>
  </si>
  <si>
    <t>Verify initial game state</t>
  </si>
  <si>
    <t>High</t>
  </si>
  <si>
    <t>Functional</t>
  </si>
  <si>
    <t>Bird Game build is loaded in a supported browser.</t>
  </si>
  <si>
    <t>Freshly opened game.</t>
  </si>
  <si>
    <t>1. Open the Bird Game.
2. Observe the game area before using any control.</t>
  </si>
  <si>
    <t>Bird, first obstacle, score 0 and short start instructions are visible.</t>
  </si>
  <si>
    <t>Not Run</t>
  </si>
  <si>
    <t>TC-START-002</t>
  </si>
  <si>
    <t>TS-START-002</t>
  </si>
  <si>
    <t>BR-FR-002</t>
  </si>
  <si>
    <t>BG-9</t>
  </si>
  <si>
    <t>Verify game remains idle before start</t>
  </si>
  <si>
    <t>Functional / State</t>
  </si>
  <si>
    <t>Freshly opened game; no control has been used.</t>
  </si>
  <si>
    <t>No input for 1 second.</t>
  </si>
  <si>
    <t>1. Open the game.
2. Do not press/click any control.
3. Observe bird and obstacle positions.</t>
  </si>
  <si>
    <t>Gameplay remains idle; bird and obstacle do not begin gameplay movement before a supported control is used.</t>
  </si>
  <si>
    <t>TC-START-003</t>
  </si>
  <si>
    <t>TS-START-003</t>
  </si>
  <si>
    <t>BR-FR-003</t>
  </si>
  <si>
    <t>BG-10</t>
  </si>
  <si>
    <t>Start game with Up Arrow</t>
  </si>
  <si>
    <t>Game is in initial idle state.</t>
  </si>
  <si>
    <t>Up Arrow.</t>
  </si>
  <si>
    <t>1. Press Up Arrow.
2. Observe instructions and movement.</t>
  </si>
  <si>
    <t>Gameplay starts and the bird begins manual upward movement; start instructions are hidden.</t>
  </si>
  <si>
    <t>TC-START-004</t>
  </si>
  <si>
    <t>Start game with Down Arrow</t>
  </si>
  <si>
    <t>Down Arrow.</t>
  </si>
  <si>
    <t>1. Press Down Arrow.
2. Observe instructions and movement.</t>
  </si>
  <si>
    <t>Gameplay starts and the bird begins manual downward movement; start instructions are hidden.</t>
  </si>
  <si>
    <t>TC-START-005</t>
  </si>
  <si>
    <t>Start game with Space</t>
  </si>
  <si>
    <t>Space key.</t>
  </si>
  <si>
    <t>1. Press Space once.
2. Observe the game.</t>
  </si>
  <si>
    <t>Gameplay starts and the bird performs one upward jump.</t>
  </si>
  <si>
    <t>TC-START-006</t>
  </si>
  <si>
    <t>Start game with mouse click</t>
  </si>
  <si>
    <t>Single click inside game area.</t>
  </si>
  <si>
    <t>1. Click once inside the game area.
2. Observe the game.</t>
  </si>
  <si>
    <t>TC-START-007</t>
  </si>
  <si>
    <t>Start game with on-screen Up button</t>
  </si>
  <si>
    <t>On-screen Up button.</t>
  </si>
  <si>
    <t>1. Press the on-screen Up button.
2. Observe the game.</t>
  </si>
  <si>
    <t>Gameplay starts and the bird begins upward movement.</t>
  </si>
  <si>
    <t>TC-START-008</t>
  </si>
  <si>
    <t>Start game with on-screen Down button</t>
  </si>
  <si>
    <t>On-screen Down button.</t>
  </si>
  <si>
    <t>1. Press the on-screen Down button.
2. Observe the game.</t>
  </si>
  <si>
    <t>Gameplay starts and the bird begins downward movement.</t>
  </si>
  <si>
    <t>TC-MOVE-001</t>
  </si>
  <si>
    <t>TS-MOVE-001</t>
  </si>
  <si>
    <t>BR-FR-004</t>
  </si>
  <si>
    <t>BG-11</t>
  </si>
  <si>
    <t>Verify Up Arrow continuous movement and release</t>
  </si>
  <si>
    <t>Gameplay is active and Game Over is not displayed.</t>
  </si>
  <si>
    <t>Hold then release Up Arrow.</t>
  </si>
  <si>
    <t>1. Note bird position.
2. Hold Up Arrow briefly.
3. Release Up Arrow.
4. Observe movement before and after release.</t>
  </si>
  <si>
    <t>Bird moves upward while Up Arrow is held; releasing it stops manual upward movement.</t>
  </si>
  <si>
    <t>TC-MOVE-002</t>
  </si>
  <si>
    <t>BR-FR-005</t>
  </si>
  <si>
    <t>Verify Down Arrow continuous movement and release</t>
  </si>
  <si>
    <t>Hold then release Down Arrow.</t>
  </si>
  <si>
    <t>1. Note bird position.
2. Hold Down Arrow briefly.
3. Release Down Arrow.
4. Observe movement before and after release.</t>
  </si>
  <si>
    <t>Bird moves downward while Down Arrow is held; releasing it stops manual downward movement.</t>
  </si>
  <si>
    <t>TC-MOVE-003</t>
  </si>
  <si>
    <t>TS-MOVE-002</t>
  </si>
  <si>
    <t>BR-FR-006</t>
  </si>
  <si>
    <t>BG-12</t>
  </si>
  <si>
    <t>Verify Space gives a single upward jump</t>
  </si>
  <si>
    <t>Gameplay is active; bird is away from boundaries.</t>
  </si>
  <si>
    <t>Single Space press.</t>
  </si>
  <si>
    <t>1. Note bird position.
2. Press Space once.
3. Observe immediate movement.</t>
  </si>
  <si>
    <t>One Space press produces one upward jump.</t>
  </si>
  <si>
    <t>TC-MOVE-004</t>
  </si>
  <si>
    <t>BR-FR-007</t>
  </si>
  <si>
    <t>Verify mouse click gives a single upward jump</t>
  </si>
  <si>
    <t>1. Note bird position.
2. Click once inside the game area.
3. Observe immediate movement.</t>
  </si>
  <si>
    <t>One click produces one upward jump.</t>
  </si>
  <si>
    <t>TC-MOVE-005</t>
  </si>
  <si>
    <t>TS-MOVE-003</t>
  </si>
  <si>
    <t>BR-FR-008</t>
  </si>
  <si>
    <t>Verify on-screen Up continuous movement</t>
  </si>
  <si>
    <t>Gameplay is active.</t>
  </si>
  <si>
    <t>Press/hold/release on-screen Up.</t>
  </si>
  <si>
    <t>1. Hold the on-screen Up button.
2. Observe bird.
3. Release the button.</t>
  </si>
  <si>
    <t>Bird moves upward continuously while pressed; manual upward movement stops on release.</t>
  </si>
  <si>
    <t>TC-MOVE-006</t>
  </si>
  <si>
    <t>Verify on-screen Down continuous movement</t>
  </si>
  <si>
    <t>Press/hold/release on-screen Down.</t>
  </si>
  <si>
    <t>1. Hold the on-screen Down button.
2. Observe bird.
3. Release the button.</t>
  </si>
  <si>
    <t>Bird moves downward continuously while pressed; manual downward movement stops on release.</t>
  </si>
  <si>
    <t>TC-MOVE-007</t>
  </si>
  <si>
    <t>TS-MOVE-004</t>
  </si>
  <si>
    <t>BR-FR-009</t>
  </si>
  <si>
    <t>BG-13</t>
  </si>
  <si>
    <t>Verify gravity after manual input stops</t>
  </si>
  <si>
    <t>Gameplay is active; bird is clear of boundaries.</t>
  </si>
  <si>
    <t>No manual input after release.</t>
  </si>
  <si>
    <t>1. Use a control to place the bird safely.
2. Release all controls.
3. Observe over a short interval.</t>
  </si>
  <si>
    <t>When manual movement is inactive, gravity gradually pulls the bird downward.</t>
  </si>
  <si>
    <t>TC-OBS-001</t>
  </si>
  <si>
    <t>TS-OBS-001</t>
  </si>
  <si>
    <t>BR-FR-010</t>
  </si>
  <si>
    <t>BG-14</t>
  </si>
  <si>
    <t>Verify obstacle moves right to left</t>
  </si>
  <si>
    <t>Gameplay has started.</t>
  </si>
  <si>
    <t>Observe obstacle positions at two time points.</t>
  </si>
  <si>
    <t>1. Start the game.
2. Note obstacle position.
3. Observe again shortly afterwards.</t>
  </si>
  <si>
    <t>Obstacle position moves consistently from right toward left during active gameplay.</t>
  </si>
  <si>
    <t>TC-OBS-002</t>
  </si>
  <si>
    <t>BR-FR-011</t>
  </si>
  <si>
    <t>Verify obstacle recycles after leaving left edge</t>
  </si>
  <si>
    <t>Gameplay remains active long enough for the obstacle to cross the screen.</t>
  </si>
  <si>
    <t>One full obstacle cycle.</t>
  </si>
  <si>
    <t>1. Start the game and keep bird alive.
2. Observe obstacle leaving the left edge.
3. Continue observing.</t>
  </si>
  <si>
    <t>After leaving the left side, the reused obstacle returns to the right and begins another pass.</t>
  </si>
  <si>
    <t>TC-OBS-003</t>
  </si>
  <si>
    <t>TS-OBS-002</t>
  </si>
  <si>
    <t>BR-FR-012</t>
  </si>
  <si>
    <t>BG-15</t>
  </si>
  <si>
    <t>Verify opening position randomises on reset</t>
  </si>
  <si>
    <t>Medium</t>
  </si>
  <si>
    <t>Gameplay remains active for multiple obstacle resets.</t>
  </si>
  <si>
    <t>Opening position across at least 3 cycles.</t>
  </si>
  <si>
    <t>1. Record opening position for first cycle.
2. Keep game active through resets.
3. Compare subsequent opening positions.</t>
  </si>
  <si>
    <t>Opening vertical position is randomised on reset; repeated cycles are not fixed to one position.</t>
  </si>
  <si>
    <t>TC-OBS-004</t>
  </si>
  <si>
    <t>TS-OBS-003</t>
  </si>
  <si>
    <t>BR-FR-013</t>
  </si>
  <si>
    <t>Verify obstacle opening height is 160px</t>
  </si>
  <si>
    <t>Functional / Boundary</t>
  </si>
  <si>
    <t>Game is loaded.</t>
  </si>
  <si>
    <t>Opening height.</t>
  </si>
  <si>
    <t>1. Inspect the clear opening.
2. Measure/verify its configured height.</t>
  </si>
  <si>
    <t>Opening height is 160 pixels.</t>
  </si>
  <si>
    <t>TC-OBS-005</t>
  </si>
  <si>
    <t>Verify opening stays fully inside playable area</t>
  </si>
  <si>
    <t>Game is active through multiple resets.</t>
  </si>
  <si>
    <t>Several random opening positions.</t>
  </si>
  <si>
    <t>1. Observe multiple obstacle resets.
2. Check top and bottom of each opening.</t>
  </si>
  <si>
    <t>Opening remains fully inside playable area with obstacle area visible above and below it.</t>
  </si>
  <si>
    <t>TC-SCORE-001</t>
  </si>
  <si>
    <t>TS-SCORE-001</t>
  </si>
  <si>
    <t>BR-FR-014</t>
  </si>
  <si>
    <t>BG-16</t>
  </si>
  <si>
    <t>Verify starting score is 0</t>
  </si>
  <si>
    <t>Freshly opened or restarted game.</t>
  </si>
  <si>
    <t>Initial score.</t>
  </si>
  <si>
    <t>1. Open/restart game.
2. Read score.</t>
  </si>
  <si>
    <t>Score displays 0 before any successful pass.</t>
  </si>
  <si>
    <t>TC-SCORE-002</t>
  </si>
  <si>
    <t>BR-FR-017</t>
  </si>
  <si>
    <t>Verify score remains visible during gameplay</t>
  </si>
  <si>
    <t>Functional / UI</t>
  </si>
  <si>
    <t>Score display during active play.</t>
  </si>
  <si>
    <t>1. Start the game.
2. Continue gameplay.
3. Observe score display.</t>
  </si>
  <si>
    <t>Current score remains visible while gameplay is running.</t>
  </si>
  <si>
    <t>TC-SCORE-003</t>
  </si>
  <si>
    <t>TS-SCORE-002</t>
  </si>
  <si>
    <t>BR-FR-015</t>
  </si>
  <si>
    <t>BG-17</t>
  </si>
  <si>
    <t>Verify score increments after successful pass</t>
  </si>
  <si>
    <t>Gameplay active; bird passes through clear opening without collision.</t>
  </si>
  <si>
    <t>One successful obstacle pass.</t>
  </si>
  <si>
    <t>1. Note current score.
2. Pass the entire obstacle without collision.
3. Observe score.</t>
  </si>
  <si>
    <t>Score increases by exactly 1 after the entire obstacle has passed the bird.</t>
  </si>
  <si>
    <t>TC-SCORE-004</t>
  </si>
  <si>
    <t>TS-SCORE-003</t>
  </si>
  <si>
    <t>BR-FR-016</t>
  </si>
  <si>
    <t>Verify no duplicate scoring for same pass</t>
  </si>
  <si>
    <t>Negative / Timing</t>
  </si>
  <si>
    <t>A successful pass has just incremented score.</t>
  </si>
  <si>
    <t>Observe score until obstacle reset.</t>
  </si>
  <si>
    <t>1. Complete one successful pass.
2. Continue observing before reset.
3. Compare score.</t>
  </si>
  <si>
    <t>The same obstacle pass increases score only once.</t>
  </si>
  <si>
    <t>TC-SCORE-005</t>
  </si>
  <si>
    <t>BR-FR-015; BR-FR-016</t>
  </si>
  <si>
    <t>Verify later recycled pass can score again</t>
  </si>
  <si>
    <t>One pass already scored and obstacle has recycled.</t>
  </si>
  <si>
    <t>Second successful pass.</t>
  </si>
  <si>
    <t>1. Complete first pass and confirm +1.
2. Keep game alive through reset.
3. Complete second pass.</t>
  </si>
  <si>
    <t>A new recycled obstacle pass can add another 1 point, while each pass still scores once.</t>
  </si>
  <si>
    <t>TC-COLL-001</t>
  </si>
  <si>
    <t>TS-COLL-001</t>
  </si>
  <si>
    <t>BR-FR-018</t>
  </si>
  <si>
    <t>BG-18</t>
  </si>
  <si>
    <t>Verify upper pipe collision triggers Game Over</t>
  </si>
  <si>
    <t>Negative / Boundary</t>
  </si>
  <si>
    <t>Gameplay active; obstacle approaching.</t>
  </si>
  <si>
    <t>Bird positioned to intersect upper pipe.</t>
  </si>
  <si>
    <t>1. Start game.
2. Guide bird into upper pipe path.
3. Observe result.</t>
  </si>
  <si>
    <t>Collision with upper pipe triggers Game Over.</t>
  </si>
  <si>
    <t>TC-COLL-002</t>
  </si>
  <si>
    <t>Verify lower pipe collision triggers Game Over</t>
  </si>
  <si>
    <t>Bird positioned to intersect lower pipe.</t>
  </si>
  <si>
    <t>1. Start game.
2. Guide bird into lower pipe path.
3. Observe result.</t>
  </si>
  <si>
    <t>Collision with lower pipe triggers Game Over.</t>
  </si>
  <si>
    <t>TC-COLL-003</t>
  </si>
  <si>
    <t>TS-COLL-002</t>
  </si>
  <si>
    <t>BR-FR-019</t>
  </si>
  <si>
    <t>Verify top boundary triggers Game Over</t>
  </si>
  <si>
    <t>Boundary</t>
  </si>
  <si>
    <t>Gameplay active.</t>
  </si>
  <si>
    <t>Hold Up Arrow to top boundary.</t>
  </si>
  <si>
    <t>1. Start game.
2. Move bird upward until it reaches top boundary.</t>
  </si>
  <si>
    <t>Reaching/crossing the top boundary triggers Game Over.</t>
  </si>
  <si>
    <t>TC-COLL-004</t>
  </si>
  <si>
    <t>Verify bottom boundary triggers Game Over</t>
  </si>
  <si>
    <t>Hold Down Arrow / allow gravity to bottom boundary.</t>
  </si>
  <si>
    <t>1. Start game.
2. Move bird downward until it reaches bottom boundary.</t>
  </si>
  <si>
    <t>Reaching/crossing the bottom boundary triggers Game Over.</t>
  </si>
  <si>
    <t>TC-COLL-005</t>
  </si>
  <si>
    <t>TS-COLL-003</t>
  </si>
  <si>
    <t>BR-FR-020</t>
  </si>
  <si>
    <t>Verify safe gap passage does not trigger Game Over</t>
  </si>
  <si>
    <t>Positive / Boundary</t>
  </si>
  <si>
    <t>Bird kept fully within opening.</t>
  </si>
  <si>
    <t>1. Align bird inside clear opening.
2. Pass through obstacle.
3. Observe Game Over state.</t>
  </si>
  <si>
    <t>No collision occurs while the entire bird remains within the clear opening.</t>
  </si>
  <si>
    <t>TC-GO-001</t>
  </si>
  <si>
    <t>TS-GO-001</t>
  </si>
  <si>
    <t>BR-FR-021</t>
  </si>
  <si>
    <t>BG-19</t>
  </si>
  <si>
    <t>Verify gameplay stops after Game Over</t>
  </si>
  <si>
    <t>State transition</t>
  </si>
  <si>
    <t>A defined collision has triggered Game Over.</t>
  </si>
  <si>
    <t>Game Over state.</t>
  </si>
  <si>
    <t>1. Trigger Game Over.
2. Observe bird/obstacle over a short interval.</t>
  </si>
  <si>
    <t>Active gameplay stops after Game Over.</t>
  </si>
  <si>
    <t>TC-GO-002</t>
  </si>
  <si>
    <t>Verify no scoring after Game Over</t>
  </si>
  <si>
    <t>Negative</t>
  </si>
  <si>
    <t>Game Over is active.</t>
  </si>
  <si>
    <t>Observe score after Game Over.</t>
  </si>
  <si>
    <t>1. Record final score at Game Over.
2. Wait/attempt inputs.
3. Recheck score.</t>
  </si>
  <si>
    <t>No further points are added after Game Over.</t>
  </si>
  <si>
    <t>TC-GO-003</t>
  </si>
  <si>
    <t>Verify final score is shown</t>
  </si>
  <si>
    <t>Final score display.</t>
  </si>
  <si>
    <t>1. Trigger Game Over.
2. Read Game Over message.</t>
  </si>
  <si>
    <t>Game Over screen displays the player's final score.</t>
  </si>
  <si>
    <t>TC-GO-004</t>
  </si>
  <si>
    <t>Verify movement controls are disabled after Game Over</t>
  </si>
  <si>
    <t>Up, Down, Space, click, on-screen controls.</t>
  </si>
  <si>
    <t>1. Note bird position.
2. Use each movement control.
3. Observe bird.</t>
  </si>
  <si>
    <t>Movement controls no longer move the bird after Game Over.</t>
  </si>
  <si>
    <t>TC-RESTART-001</t>
  </si>
  <si>
    <t>TS-RESTART-001</t>
  </si>
  <si>
    <t>BR-FR-022</t>
  </si>
  <si>
    <t>BG-20</t>
  </si>
  <si>
    <t>Verify Restart button is available after Game Over</t>
  </si>
  <si>
    <t>Restart button.</t>
  </si>
  <si>
    <t>1. Trigger Game Over.
2. Inspect Game Over screen.</t>
  </si>
  <si>
    <t>Restart button is visible and available on the Game Over screen.</t>
  </si>
  <si>
    <t>TC-RESTART-002</t>
  </si>
  <si>
    <t>TS-RESTART-002</t>
  </si>
  <si>
    <t>BR-FR-023</t>
  </si>
  <si>
    <t>BG-21</t>
  </si>
  <si>
    <t>Verify Restart resets score/bird/obstacle/instructions</t>
  </si>
  <si>
    <t>Game Over active after non-zero or changed game state.</t>
  </si>
  <si>
    <t>Restart action.</t>
  </si>
  <si>
    <t>1. Note changed state.
2. Select Restart.
3. Observe score, bird, obstacle and instructions.</t>
  </si>
  <si>
    <t>Score returns to 0; bird and obstacle return to starting state; start instructions are shown again.</t>
  </si>
  <si>
    <t>TC-RESTART-003</t>
  </si>
  <si>
    <t>BR-FR-024</t>
  </si>
  <si>
    <t>Verify Restart returns to idle without auto-start</t>
  </si>
  <si>
    <t>Game was restarted.</t>
  </si>
  <si>
    <t>No input after Restart.</t>
  </si>
  <si>
    <t>1. Select Restart.
2. Do not use any control.
3. Observe briefly.</t>
  </si>
  <si>
    <t>New game remains idle and waits for a supported control; gameplay does not start automatically.</t>
  </si>
  <si>
    <t>TC-COMP-001</t>
  </si>
  <si>
    <t>TS-COMP-001</t>
  </si>
  <si>
    <t>BR-NFR-001</t>
  </si>
  <si>
    <t>BG-22</t>
  </si>
  <si>
    <t>Verify core gameplay flow in Google Chrome</t>
  </si>
  <si>
    <t>Compatibility</t>
  </si>
  <si>
    <t>Current supported Chrome available.</t>
  </si>
  <si>
    <t>Chrome version recorded.</t>
  </si>
  <si>
    <t>1. Execute core smoke flow: open, start, move, score/collide, Game Over, Restart.</t>
  </si>
  <si>
    <t>Core gameplay flow is usable in Chrome without browser-specific blocking defects.</t>
  </si>
  <si>
    <t>TC-COMP-002</t>
  </si>
  <si>
    <t>Verify core gameplay flow in Microsoft Edge</t>
  </si>
  <si>
    <t>Current supported Edge available.</t>
  </si>
  <si>
    <t>Edge version recorded.</t>
  </si>
  <si>
    <t>Core gameplay flow is usable in Edge without browser-specific blocking defects.</t>
  </si>
  <si>
    <t>TC-COMP-003</t>
  </si>
  <si>
    <t>Verify core gameplay flow in Mozilla Firefox</t>
  </si>
  <si>
    <t>Current supported Firefox available.</t>
  </si>
  <si>
    <t>Firefox version recorded.</t>
  </si>
  <si>
    <t>Core gameplay flow is usable in Firefox without browser-specific blocking defects.</t>
  </si>
  <si>
    <t>TC-RESP-001</t>
  </si>
  <si>
    <t>TS-RESP-001</t>
  </si>
  <si>
    <t>BR-NFR-002</t>
  </si>
  <si>
    <t>BG-23</t>
  </si>
  <si>
    <t>Verify layout and controls on representative smaller screen</t>
  </si>
  <si>
    <t>Responsive / Usability</t>
  </si>
  <si>
    <t>Game loaded in supported browser; smaller viewport selected.</t>
  </si>
  <si>
    <t>Representative smaller viewport; exact approved minimum is open.</t>
  </si>
  <si>
    <t>1. Reduce viewport to representative smaller size.
2. Observe game area and controls.
3. Exercise Up/Down controls.</t>
  </si>
  <si>
    <t>Core game remains usable; essential elements and on-screen Up/Down controls remain visible/accessibile. This does not establish an approved minimum size.</t>
  </si>
  <si>
    <t>Open point: minimum supported screen size not defined.</t>
  </si>
  <si>
    <t>Bird Game - Execution Summary</t>
  </si>
  <si>
    <t>Metric</t>
  </si>
  <si>
    <t>Value</t>
  </si>
  <si>
    <t>Total Test Cases</t>
  </si>
  <si>
    <t>Pass</t>
  </si>
  <si>
    <t>Fail</t>
  </si>
  <si>
    <t>Blocked</t>
  </si>
  <si>
    <t>Pass Rate</t>
  </si>
  <si>
    <t>Execution State</t>
  </si>
  <si>
    <t>Design complete; execution not yet performed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</si>
</sst>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name val="Carlito"/>
    </font>
    <font>
      <b/>
      <sz val="11"/>
      <name val="Carlito"/>
    </font>
    <font>
      <b/>
      <sz val="14"/>
      <name val="Carlito"/>
    </font>
    <font>
      <b/>
      <sz val="11"/>
      <color theme="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Carlito"/>
        <family val="2"/>
        <scheme val="none"/>
      </font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2:P43" headerRowDxfId="0">
  <tableColumns count="16">
    <tableColumn id="1" xr3:uid="{00000000-0010-0000-0000-000001000000}" name="Test Case ID"/>
    <tableColumn id="2" xr3:uid="{00000000-0010-0000-0000-000002000000}" name="Scenario ID"/>
    <tableColumn id="3" xr3:uid="{00000000-0010-0000-0000-000003000000}" name="Requirement(s)"/>
    <tableColumn id="4" xr3:uid="{00000000-0010-0000-0000-000004000000}" name="Jira Story"/>
    <tableColumn id="5" xr3:uid="{00000000-0010-0000-0000-000005000000}" name="Test Case Title"/>
    <tableColumn id="6" xr3:uid="{00000000-0010-0000-0000-000006000000}" name="Priority"/>
    <tableColumn id="7" xr3:uid="{00000000-0010-0000-0000-000007000000}" name="Test Type"/>
    <tableColumn id="8" xr3:uid="{00000000-0010-0000-0000-000008000000}" name="Preconditions"/>
    <tableColumn id="9" xr3:uid="{00000000-0010-0000-0000-000009000000}" name="Test Data"/>
    <tableColumn id="10" xr3:uid="{00000000-0010-0000-0000-00000A000000}" name="Test Steps"/>
    <tableColumn id="11" xr3:uid="{00000000-0010-0000-0000-00000B000000}" name="Expected Result"/>
    <tableColumn id="12" xr3:uid="{00000000-0010-0000-0000-00000C000000}" name="Actual Result"/>
    <tableColumn id="13" xr3:uid="{00000000-0010-0000-0000-00000D000000}" name="Status"/>
    <tableColumn id="14" xr3:uid="{00000000-0010-0000-0000-00000E000000}" name="Evidence"/>
    <tableColumn id="15" xr3:uid="{00000000-0010-0000-0000-00000F000000}" name="Defect ID"/>
    <tableColumn id="16" xr3:uid="{00000000-0010-0000-0000-000010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>
      <selection activeCell="A2" sqref="A2:P2"/>
    </sheetView>
  </sheetViews>
  <sheetFormatPr defaultRowHeight="15" x14ac:dyDescent="0.25"/>
  <cols>
    <col min="1" max="2" width="17" customWidth="1"/>
    <col min="3" max="3" width="24" customWidth="1"/>
    <col min="4" max="4" width="13" customWidth="1"/>
    <col min="5" max="5" width="42" customWidth="1"/>
    <col min="6" max="6" width="11" customWidth="1"/>
    <col min="7" max="7" width="22" customWidth="1"/>
    <col min="8" max="8" width="38" customWidth="1"/>
    <col min="9" max="9" width="30" customWidth="1"/>
    <col min="10" max="10" width="52" customWidth="1"/>
    <col min="11" max="12" width="48" customWidth="1"/>
    <col min="13" max="13" width="12" customWidth="1"/>
    <col min="14" max="14" width="24" customWidth="1"/>
    <col min="15" max="15" width="14" customWidth="1"/>
    <col min="16" max="16" width="34" customWidth="1"/>
  </cols>
  <sheetData>
    <row r="1" spans="1:16" ht="26.1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</row>
    <row r="3" spans="1:16" ht="30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/>
      <c r="M3" s="3" t="s">
        <v>28</v>
      </c>
      <c r="N3" s="3"/>
      <c r="O3" s="3"/>
      <c r="P3" s="3"/>
    </row>
    <row r="4" spans="1:16" ht="45" x14ac:dyDescent="0.2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22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/>
      <c r="M4" s="3" t="s">
        <v>28</v>
      </c>
      <c r="N4" s="3"/>
      <c r="O4" s="3"/>
      <c r="P4" s="3"/>
    </row>
    <row r="5" spans="1:16" ht="30" x14ac:dyDescent="0.25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22</v>
      </c>
      <c r="G5" s="3" t="s">
        <v>23</v>
      </c>
      <c r="H5" s="3" t="s">
        <v>44</v>
      </c>
      <c r="I5" s="3" t="s">
        <v>45</v>
      </c>
      <c r="J5" s="3" t="s">
        <v>46</v>
      </c>
      <c r="K5" s="3" t="s">
        <v>47</v>
      </c>
      <c r="L5" s="3"/>
      <c r="M5" s="3" t="s">
        <v>28</v>
      </c>
      <c r="N5" s="3"/>
      <c r="O5" s="3"/>
      <c r="P5" s="3"/>
    </row>
    <row r="6" spans="1:16" ht="30" x14ac:dyDescent="0.25">
      <c r="A6" s="3" t="s">
        <v>48</v>
      </c>
      <c r="B6" s="3" t="s">
        <v>40</v>
      </c>
      <c r="C6" s="3" t="s">
        <v>41</v>
      </c>
      <c r="D6" s="3" t="s">
        <v>42</v>
      </c>
      <c r="E6" s="3" t="s">
        <v>49</v>
      </c>
      <c r="F6" s="3" t="s">
        <v>22</v>
      </c>
      <c r="G6" s="3" t="s">
        <v>23</v>
      </c>
      <c r="H6" s="3" t="s">
        <v>44</v>
      </c>
      <c r="I6" s="3" t="s">
        <v>50</v>
      </c>
      <c r="J6" s="3" t="s">
        <v>51</v>
      </c>
      <c r="K6" s="3" t="s">
        <v>52</v>
      </c>
      <c r="L6" s="3"/>
      <c r="M6" s="3" t="s">
        <v>28</v>
      </c>
      <c r="N6" s="3"/>
      <c r="O6" s="3"/>
      <c r="P6" s="3"/>
    </row>
    <row r="7" spans="1:16" ht="30" x14ac:dyDescent="0.25">
      <c r="A7" s="3" t="s">
        <v>53</v>
      </c>
      <c r="B7" s="3" t="s">
        <v>40</v>
      </c>
      <c r="C7" s="3" t="s">
        <v>41</v>
      </c>
      <c r="D7" s="3" t="s">
        <v>42</v>
      </c>
      <c r="E7" s="3" t="s">
        <v>54</v>
      </c>
      <c r="F7" s="3" t="s">
        <v>22</v>
      </c>
      <c r="G7" s="3" t="s">
        <v>23</v>
      </c>
      <c r="H7" s="3" t="s">
        <v>44</v>
      </c>
      <c r="I7" s="3" t="s">
        <v>55</v>
      </c>
      <c r="J7" s="3" t="s">
        <v>56</v>
      </c>
      <c r="K7" s="3" t="s">
        <v>57</v>
      </c>
      <c r="L7" s="3"/>
      <c r="M7" s="3" t="s">
        <v>28</v>
      </c>
      <c r="N7" s="3"/>
      <c r="O7" s="3"/>
      <c r="P7" s="3"/>
    </row>
    <row r="8" spans="1:16" ht="30" x14ac:dyDescent="0.25">
      <c r="A8" s="3" t="s">
        <v>58</v>
      </c>
      <c r="B8" s="3" t="s">
        <v>40</v>
      </c>
      <c r="C8" s="3" t="s">
        <v>41</v>
      </c>
      <c r="D8" s="3" t="s">
        <v>42</v>
      </c>
      <c r="E8" s="3" t="s">
        <v>59</v>
      </c>
      <c r="F8" s="3" t="s">
        <v>22</v>
      </c>
      <c r="G8" s="3" t="s">
        <v>23</v>
      </c>
      <c r="H8" s="3" t="s">
        <v>44</v>
      </c>
      <c r="I8" s="3" t="s">
        <v>60</v>
      </c>
      <c r="J8" s="3" t="s">
        <v>61</v>
      </c>
      <c r="K8" s="3" t="s">
        <v>57</v>
      </c>
      <c r="L8" s="3"/>
      <c r="M8" s="3" t="s">
        <v>28</v>
      </c>
      <c r="N8" s="3"/>
      <c r="O8" s="3"/>
      <c r="P8" s="3"/>
    </row>
    <row r="9" spans="1:16" ht="30" x14ac:dyDescent="0.25">
      <c r="A9" s="3" t="s">
        <v>62</v>
      </c>
      <c r="B9" s="3" t="s">
        <v>40</v>
      </c>
      <c r="C9" s="3" t="s">
        <v>41</v>
      </c>
      <c r="D9" s="3" t="s">
        <v>42</v>
      </c>
      <c r="E9" s="3" t="s">
        <v>63</v>
      </c>
      <c r="F9" s="3" t="s">
        <v>22</v>
      </c>
      <c r="G9" s="3" t="s">
        <v>23</v>
      </c>
      <c r="H9" s="3" t="s">
        <v>44</v>
      </c>
      <c r="I9" s="3" t="s">
        <v>64</v>
      </c>
      <c r="J9" s="3" t="s">
        <v>65</v>
      </c>
      <c r="K9" s="3" t="s">
        <v>66</v>
      </c>
      <c r="L9" s="3"/>
      <c r="M9" s="3" t="s">
        <v>28</v>
      </c>
      <c r="N9" s="3"/>
      <c r="O9" s="3"/>
      <c r="P9" s="3"/>
    </row>
    <row r="10" spans="1:16" ht="30" x14ac:dyDescent="0.25">
      <c r="A10" s="3" t="s">
        <v>67</v>
      </c>
      <c r="B10" s="3" t="s">
        <v>40</v>
      </c>
      <c r="C10" s="3" t="s">
        <v>41</v>
      </c>
      <c r="D10" s="3" t="s">
        <v>42</v>
      </c>
      <c r="E10" s="3" t="s">
        <v>68</v>
      </c>
      <c r="F10" s="3" t="s">
        <v>22</v>
      </c>
      <c r="G10" s="3" t="s">
        <v>23</v>
      </c>
      <c r="H10" s="3" t="s">
        <v>44</v>
      </c>
      <c r="I10" s="3" t="s">
        <v>69</v>
      </c>
      <c r="J10" s="3" t="s">
        <v>70</v>
      </c>
      <c r="K10" s="3" t="s">
        <v>71</v>
      </c>
      <c r="L10" s="3"/>
      <c r="M10" s="3" t="s">
        <v>28</v>
      </c>
      <c r="N10" s="3"/>
      <c r="O10" s="3"/>
      <c r="P10" s="3"/>
    </row>
    <row r="11" spans="1:16" ht="60" x14ac:dyDescent="0.25">
      <c r="A11" s="3" t="s">
        <v>72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22</v>
      </c>
      <c r="G11" s="3" t="s">
        <v>23</v>
      </c>
      <c r="H11" s="3" t="s">
        <v>77</v>
      </c>
      <c r="I11" s="3" t="s">
        <v>78</v>
      </c>
      <c r="J11" s="3" t="s">
        <v>79</v>
      </c>
      <c r="K11" s="3" t="s">
        <v>80</v>
      </c>
      <c r="L11" s="3"/>
      <c r="M11" s="3" t="s">
        <v>28</v>
      </c>
      <c r="N11" s="3"/>
      <c r="O11" s="3"/>
      <c r="P11" s="3"/>
    </row>
    <row r="12" spans="1:16" ht="60" x14ac:dyDescent="0.25">
      <c r="A12" s="3" t="s">
        <v>81</v>
      </c>
      <c r="B12" s="3" t="s">
        <v>73</v>
      </c>
      <c r="C12" s="3" t="s">
        <v>82</v>
      </c>
      <c r="D12" s="3" t="s">
        <v>75</v>
      </c>
      <c r="E12" s="3" t="s">
        <v>83</v>
      </c>
      <c r="F12" s="3" t="s">
        <v>22</v>
      </c>
      <c r="G12" s="3" t="s">
        <v>23</v>
      </c>
      <c r="H12" s="3" t="s">
        <v>77</v>
      </c>
      <c r="I12" s="3" t="s">
        <v>84</v>
      </c>
      <c r="J12" s="3" t="s">
        <v>85</v>
      </c>
      <c r="K12" s="3" t="s">
        <v>86</v>
      </c>
      <c r="L12" s="3"/>
      <c r="M12" s="3" t="s">
        <v>28</v>
      </c>
      <c r="N12" s="3"/>
      <c r="O12" s="3"/>
      <c r="P12" s="3"/>
    </row>
    <row r="13" spans="1:16" ht="45" x14ac:dyDescent="0.25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91</v>
      </c>
      <c r="F13" s="3" t="s">
        <v>22</v>
      </c>
      <c r="G13" s="3" t="s">
        <v>23</v>
      </c>
      <c r="H13" s="3" t="s">
        <v>92</v>
      </c>
      <c r="I13" s="3" t="s">
        <v>93</v>
      </c>
      <c r="J13" s="3" t="s">
        <v>94</v>
      </c>
      <c r="K13" s="3" t="s">
        <v>95</v>
      </c>
      <c r="L13" s="3"/>
      <c r="M13" s="3" t="s">
        <v>28</v>
      </c>
      <c r="N13" s="3"/>
      <c r="O13" s="3"/>
      <c r="P13" s="3"/>
    </row>
    <row r="14" spans="1:16" ht="45" x14ac:dyDescent="0.25">
      <c r="A14" s="3" t="s">
        <v>96</v>
      </c>
      <c r="B14" s="3" t="s">
        <v>88</v>
      </c>
      <c r="C14" s="3" t="s">
        <v>97</v>
      </c>
      <c r="D14" s="3" t="s">
        <v>90</v>
      </c>
      <c r="E14" s="3" t="s">
        <v>98</v>
      </c>
      <c r="F14" s="3" t="s">
        <v>22</v>
      </c>
      <c r="G14" s="3" t="s">
        <v>23</v>
      </c>
      <c r="H14" s="3" t="s">
        <v>92</v>
      </c>
      <c r="I14" s="3" t="s">
        <v>60</v>
      </c>
      <c r="J14" s="3" t="s">
        <v>99</v>
      </c>
      <c r="K14" s="3" t="s">
        <v>100</v>
      </c>
      <c r="L14" s="3"/>
      <c r="M14" s="3" t="s">
        <v>28</v>
      </c>
      <c r="N14" s="3"/>
      <c r="O14" s="3"/>
      <c r="P14" s="3"/>
    </row>
    <row r="15" spans="1:16" ht="45" x14ac:dyDescent="0.25">
      <c r="A15" s="3" t="s">
        <v>101</v>
      </c>
      <c r="B15" s="3" t="s">
        <v>102</v>
      </c>
      <c r="C15" s="3" t="s">
        <v>103</v>
      </c>
      <c r="D15" s="3" t="s">
        <v>75</v>
      </c>
      <c r="E15" s="3" t="s">
        <v>104</v>
      </c>
      <c r="F15" s="3" t="s">
        <v>22</v>
      </c>
      <c r="G15" s="3" t="s">
        <v>23</v>
      </c>
      <c r="H15" s="3" t="s">
        <v>105</v>
      </c>
      <c r="I15" s="3" t="s">
        <v>106</v>
      </c>
      <c r="J15" s="3" t="s">
        <v>107</v>
      </c>
      <c r="K15" s="3" t="s">
        <v>108</v>
      </c>
      <c r="L15" s="3"/>
      <c r="M15" s="3" t="s">
        <v>28</v>
      </c>
      <c r="N15" s="3"/>
      <c r="O15" s="3"/>
      <c r="P15" s="3"/>
    </row>
    <row r="16" spans="1:16" ht="45" x14ac:dyDescent="0.25">
      <c r="A16" s="3" t="s">
        <v>109</v>
      </c>
      <c r="B16" s="3" t="s">
        <v>102</v>
      </c>
      <c r="C16" s="3" t="s">
        <v>103</v>
      </c>
      <c r="D16" s="3" t="s">
        <v>75</v>
      </c>
      <c r="E16" s="3" t="s">
        <v>110</v>
      </c>
      <c r="F16" s="3" t="s">
        <v>22</v>
      </c>
      <c r="G16" s="3" t="s">
        <v>23</v>
      </c>
      <c r="H16" s="3" t="s">
        <v>105</v>
      </c>
      <c r="I16" s="3" t="s">
        <v>111</v>
      </c>
      <c r="J16" s="3" t="s">
        <v>112</v>
      </c>
      <c r="K16" s="3" t="s">
        <v>113</v>
      </c>
      <c r="L16" s="3"/>
      <c r="M16" s="3" t="s">
        <v>28</v>
      </c>
      <c r="N16" s="3"/>
      <c r="O16" s="3"/>
      <c r="P16" s="3"/>
    </row>
    <row r="17" spans="1:16" ht="45" x14ac:dyDescent="0.25">
      <c r="A17" s="3" t="s">
        <v>114</v>
      </c>
      <c r="B17" s="3" t="s">
        <v>115</v>
      </c>
      <c r="C17" s="3" t="s">
        <v>116</v>
      </c>
      <c r="D17" s="3" t="s">
        <v>117</v>
      </c>
      <c r="E17" s="3" t="s">
        <v>118</v>
      </c>
      <c r="F17" s="3" t="s">
        <v>22</v>
      </c>
      <c r="G17" s="3" t="s">
        <v>34</v>
      </c>
      <c r="H17" s="3" t="s">
        <v>119</v>
      </c>
      <c r="I17" s="3" t="s">
        <v>120</v>
      </c>
      <c r="J17" s="3" t="s">
        <v>121</v>
      </c>
      <c r="K17" s="3" t="s">
        <v>122</v>
      </c>
      <c r="L17" s="3"/>
      <c r="M17" s="3" t="s">
        <v>28</v>
      </c>
      <c r="N17" s="3"/>
      <c r="O17" s="3"/>
      <c r="P17" s="3"/>
    </row>
    <row r="18" spans="1:16" ht="45" x14ac:dyDescent="0.25">
      <c r="A18" s="3" t="s">
        <v>123</v>
      </c>
      <c r="B18" s="3" t="s">
        <v>124</v>
      </c>
      <c r="C18" s="3" t="s">
        <v>125</v>
      </c>
      <c r="D18" s="3" t="s">
        <v>126</v>
      </c>
      <c r="E18" s="3" t="s">
        <v>127</v>
      </c>
      <c r="F18" s="3" t="s">
        <v>22</v>
      </c>
      <c r="G18" s="3" t="s">
        <v>23</v>
      </c>
      <c r="H18" s="3" t="s">
        <v>128</v>
      </c>
      <c r="I18" s="3" t="s">
        <v>129</v>
      </c>
      <c r="J18" s="3" t="s">
        <v>130</v>
      </c>
      <c r="K18" s="3" t="s">
        <v>131</v>
      </c>
      <c r="L18" s="3"/>
      <c r="M18" s="3" t="s">
        <v>28</v>
      </c>
      <c r="N18" s="3"/>
      <c r="O18" s="3"/>
      <c r="P18" s="3"/>
    </row>
    <row r="19" spans="1:16" ht="45" x14ac:dyDescent="0.25">
      <c r="A19" s="3" t="s">
        <v>132</v>
      </c>
      <c r="B19" s="3" t="s">
        <v>124</v>
      </c>
      <c r="C19" s="3" t="s">
        <v>133</v>
      </c>
      <c r="D19" s="3" t="s">
        <v>126</v>
      </c>
      <c r="E19" s="3" t="s">
        <v>134</v>
      </c>
      <c r="F19" s="3" t="s">
        <v>22</v>
      </c>
      <c r="G19" s="3" t="s">
        <v>34</v>
      </c>
      <c r="H19" s="3" t="s">
        <v>135</v>
      </c>
      <c r="I19" s="3" t="s">
        <v>136</v>
      </c>
      <c r="J19" s="3" t="s">
        <v>137</v>
      </c>
      <c r="K19" s="3" t="s">
        <v>138</v>
      </c>
      <c r="L19" s="3"/>
      <c r="M19" s="3" t="s">
        <v>28</v>
      </c>
      <c r="N19" s="3"/>
      <c r="O19" s="3"/>
      <c r="P19" s="3"/>
    </row>
    <row r="20" spans="1:16" ht="45" x14ac:dyDescent="0.25">
      <c r="A20" s="3" t="s">
        <v>139</v>
      </c>
      <c r="B20" s="3" t="s">
        <v>140</v>
      </c>
      <c r="C20" s="3" t="s">
        <v>141</v>
      </c>
      <c r="D20" s="3" t="s">
        <v>142</v>
      </c>
      <c r="E20" s="3" t="s">
        <v>143</v>
      </c>
      <c r="F20" s="3" t="s">
        <v>144</v>
      </c>
      <c r="G20" s="3" t="s">
        <v>23</v>
      </c>
      <c r="H20" s="3" t="s">
        <v>145</v>
      </c>
      <c r="I20" s="3" t="s">
        <v>146</v>
      </c>
      <c r="J20" s="3" t="s">
        <v>147</v>
      </c>
      <c r="K20" s="3" t="s">
        <v>148</v>
      </c>
      <c r="L20" s="3"/>
      <c r="M20" s="3" t="s">
        <v>28</v>
      </c>
      <c r="N20" s="3"/>
      <c r="O20" s="3"/>
      <c r="P20" s="3"/>
    </row>
    <row r="21" spans="1:16" ht="30" x14ac:dyDescent="0.25">
      <c r="A21" s="3" t="s">
        <v>149</v>
      </c>
      <c r="B21" s="3" t="s">
        <v>150</v>
      </c>
      <c r="C21" s="3" t="s">
        <v>151</v>
      </c>
      <c r="D21" s="3" t="s">
        <v>142</v>
      </c>
      <c r="E21" s="3" t="s">
        <v>152</v>
      </c>
      <c r="F21" s="3" t="s">
        <v>22</v>
      </c>
      <c r="G21" s="3" t="s">
        <v>153</v>
      </c>
      <c r="H21" s="3" t="s">
        <v>154</v>
      </c>
      <c r="I21" s="3" t="s">
        <v>155</v>
      </c>
      <c r="J21" s="3" t="s">
        <v>156</v>
      </c>
      <c r="K21" s="3" t="s">
        <v>157</v>
      </c>
      <c r="L21" s="3"/>
      <c r="M21" s="3" t="s">
        <v>28</v>
      </c>
      <c r="N21" s="3"/>
      <c r="O21" s="3"/>
      <c r="P21" s="3"/>
    </row>
    <row r="22" spans="1:16" ht="30" x14ac:dyDescent="0.25">
      <c r="A22" s="3" t="s">
        <v>158</v>
      </c>
      <c r="B22" s="3" t="s">
        <v>150</v>
      </c>
      <c r="C22" s="3" t="s">
        <v>151</v>
      </c>
      <c r="D22" s="3" t="s">
        <v>142</v>
      </c>
      <c r="E22" s="3" t="s">
        <v>159</v>
      </c>
      <c r="F22" s="3" t="s">
        <v>22</v>
      </c>
      <c r="G22" s="3" t="s">
        <v>153</v>
      </c>
      <c r="H22" s="3" t="s">
        <v>160</v>
      </c>
      <c r="I22" s="3" t="s">
        <v>161</v>
      </c>
      <c r="J22" s="3" t="s">
        <v>162</v>
      </c>
      <c r="K22" s="3" t="s">
        <v>163</v>
      </c>
      <c r="L22" s="3"/>
      <c r="M22" s="3" t="s">
        <v>28</v>
      </c>
      <c r="N22" s="3"/>
      <c r="O22" s="3"/>
      <c r="P22" s="3"/>
    </row>
    <row r="23" spans="1:16" ht="30" x14ac:dyDescent="0.25">
      <c r="A23" s="3" t="s">
        <v>164</v>
      </c>
      <c r="B23" s="3" t="s">
        <v>165</v>
      </c>
      <c r="C23" s="3" t="s">
        <v>166</v>
      </c>
      <c r="D23" s="3" t="s">
        <v>167</v>
      </c>
      <c r="E23" s="3" t="s">
        <v>168</v>
      </c>
      <c r="F23" s="3" t="s">
        <v>22</v>
      </c>
      <c r="G23" s="3" t="s">
        <v>23</v>
      </c>
      <c r="H23" s="3" t="s">
        <v>169</v>
      </c>
      <c r="I23" s="3" t="s">
        <v>170</v>
      </c>
      <c r="J23" s="3" t="s">
        <v>171</v>
      </c>
      <c r="K23" s="3" t="s">
        <v>172</v>
      </c>
      <c r="L23" s="3"/>
      <c r="M23" s="3" t="s">
        <v>28</v>
      </c>
      <c r="N23" s="3"/>
      <c r="O23" s="3"/>
      <c r="P23" s="3"/>
    </row>
    <row r="24" spans="1:16" ht="45" x14ac:dyDescent="0.25">
      <c r="A24" s="3" t="s">
        <v>173</v>
      </c>
      <c r="B24" s="3" t="s">
        <v>165</v>
      </c>
      <c r="C24" s="3" t="s">
        <v>174</v>
      </c>
      <c r="D24" s="3" t="s">
        <v>167</v>
      </c>
      <c r="E24" s="3" t="s">
        <v>175</v>
      </c>
      <c r="F24" s="3" t="s">
        <v>144</v>
      </c>
      <c r="G24" s="3" t="s">
        <v>176</v>
      </c>
      <c r="H24" s="3" t="s">
        <v>105</v>
      </c>
      <c r="I24" s="3" t="s">
        <v>177</v>
      </c>
      <c r="J24" s="3" t="s">
        <v>178</v>
      </c>
      <c r="K24" s="3" t="s">
        <v>179</v>
      </c>
      <c r="L24" s="3"/>
      <c r="M24" s="3" t="s">
        <v>28</v>
      </c>
      <c r="N24" s="3"/>
      <c r="O24" s="3"/>
      <c r="P24" s="3"/>
    </row>
    <row r="25" spans="1:16" ht="45" x14ac:dyDescent="0.25">
      <c r="A25" s="3" t="s">
        <v>180</v>
      </c>
      <c r="B25" s="3" t="s">
        <v>181</v>
      </c>
      <c r="C25" s="3" t="s">
        <v>182</v>
      </c>
      <c r="D25" s="3" t="s">
        <v>183</v>
      </c>
      <c r="E25" s="3" t="s">
        <v>184</v>
      </c>
      <c r="F25" s="3" t="s">
        <v>22</v>
      </c>
      <c r="G25" s="3" t="s">
        <v>34</v>
      </c>
      <c r="H25" s="3" t="s">
        <v>185</v>
      </c>
      <c r="I25" s="3" t="s">
        <v>186</v>
      </c>
      <c r="J25" s="3" t="s">
        <v>187</v>
      </c>
      <c r="K25" s="3" t="s">
        <v>188</v>
      </c>
      <c r="L25" s="3"/>
      <c r="M25" s="3" t="s">
        <v>28</v>
      </c>
      <c r="N25" s="3"/>
      <c r="O25" s="3"/>
      <c r="P25" s="3"/>
    </row>
    <row r="26" spans="1:16" ht="45" x14ac:dyDescent="0.25">
      <c r="A26" s="3" t="s">
        <v>189</v>
      </c>
      <c r="B26" s="3" t="s">
        <v>190</v>
      </c>
      <c r="C26" s="3" t="s">
        <v>191</v>
      </c>
      <c r="D26" s="3" t="s">
        <v>183</v>
      </c>
      <c r="E26" s="3" t="s">
        <v>192</v>
      </c>
      <c r="F26" s="3" t="s">
        <v>22</v>
      </c>
      <c r="G26" s="3" t="s">
        <v>193</v>
      </c>
      <c r="H26" s="3" t="s">
        <v>194</v>
      </c>
      <c r="I26" s="3" t="s">
        <v>195</v>
      </c>
      <c r="J26" s="3" t="s">
        <v>196</v>
      </c>
      <c r="K26" s="3" t="s">
        <v>197</v>
      </c>
      <c r="L26" s="3"/>
      <c r="M26" s="3" t="s">
        <v>28</v>
      </c>
      <c r="N26" s="3"/>
      <c r="O26" s="3"/>
      <c r="P26" s="3"/>
    </row>
    <row r="27" spans="1:16" ht="45" x14ac:dyDescent="0.25">
      <c r="A27" s="3" t="s">
        <v>198</v>
      </c>
      <c r="B27" s="3" t="s">
        <v>181</v>
      </c>
      <c r="C27" s="3" t="s">
        <v>199</v>
      </c>
      <c r="D27" s="3" t="s">
        <v>183</v>
      </c>
      <c r="E27" s="3" t="s">
        <v>200</v>
      </c>
      <c r="F27" s="3" t="s">
        <v>22</v>
      </c>
      <c r="G27" s="3" t="s">
        <v>23</v>
      </c>
      <c r="H27" s="3" t="s">
        <v>201</v>
      </c>
      <c r="I27" s="3" t="s">
        <v>202</v>
      </c>
      <c r="J27" s="3" t="s">
        <v>203</v>
      </c>
      <c r="K27" s="3" t="s">
        <v>204</v>
      </c>
      <c r="L27" s="3"/>
      <c r="M27" s="3" t="s">
        <v>28</v>
      </c>
      <c r="N27" s="3"/>
      <c r="O27" s="3"/>
      <c r="P27" s="3"/>
    </row>
    <row r="28" spans="1:16" ht="45" x14ac:dyDescent="0.25">
      <c r="A28" s="3" t="s">
        <v>205</v>
      </c>
      <c r="B28" s="3" t="s">
        <v>206</v>
      </c>
      <c r="C28" s="3" t="s">
        <v>207</v>
      </c>
      <c r="D28" s="3" t="s">
        <v>208</v>
      </c>
      <c r="E28" s="3" t="s">
        <v>209</v>
      </c>
      <c r="F28" s="3" t="s">
        <v>22</v>
      </c>
      <c r="G28" s="3" t="s">
        <v>210</v>
      </c>
      <c r="H28" s="3" t="s">
        <v>211</v>
      </c>
      <c r="I28" s="3" t="s">
        <v>212</v>
      </c>
      <c r="J28" s="3" t="s">
        <v>213</v>
      </c>
      <c r="K28" s="3" t="s">
        <v>214</v>
      </c>
      <c r="L28" s="3"/>
      <c r="M28" s="3" t="s">
        <v>28</v>
      </c>
      <c r="N28" s="3"/>
      <c r="O28" s="3"/>
      <c r="P28" s="3"/>
    </row>
    <row r="29" spans="1:16" ht="45" x14ac:dyDescent="0.25">
      <c r="A29" s="3" t="s">
        <v>215</v>
      </c>
      <c r="B29" s="3" t="s">
        <v>206</v>
      </c>
      <c r="C29" s="3" t="s">
        <v>207</v>
      </c>
      <c r="D29" s="3" t="s">
        <v>208</v>
      </c>
      <c r="E29" s="3" t="s">
        <v>216</v>
      </c>
      <c r="F29" s="3" t="s">
        <v>22</v>
      </c>
      <c r="G29" s="3" t="s">
        <v>210</v>
      </c>
      <c r="H29" s="3" t="s">
        <v>211</v>
      </c>
      <c r="I29" s="3" t="s">
        <v>217</v>
      </c>
      <c r="J29" s="3" t="s">
        <v>218</v>
      </c>
      <c r="K29" s="3" t="s">
        <v>219</v>
      </c>
      <c r="L29" s="3"/>
      <c r="M29" s="3" t="s">
        <v>28</v>
      </c>
      <c r="N29" s="3"/>
      <c r="O29" s="3"/>
      <c r="P29" s="3"/>
    </row>
    <row r="30" spans="1:16" ht="30" x14ac:dyDescent="0.25">
      <c r="A30" s="3" t="s">
        <v>220</v>
      </c>
      <c r="B30" s="3" t="s">
        <v>221</v>
      </c>
      <c r="C30" s="3" t="s">
        <v>222</v>
      </c>
      <c r="D30" s="3" t="s">
        <v>208</v>
      </c>
      <c r="E30" s="3" t="s">
        <v>223</v>
      </c>
      <c r="F30" s="3" t="s">
        <v>22</v>
      </c>
      <c r="G30" s="3" t="s">
        <v>224</v>
      </c>
      <c r="H30" s="3" t="s">
        <v>225</v>
      </c>
      <c r="I30" s="3" t="s">
        <v>226</v>
      </c>
      <c r="J30" s="3" t="s">
        <v>227</v>
      </c>
      <c r="K30" s="3" t="s">
        <v>228</v>
      </c>
      <c r="L30" s="3"/>
      <c r="M30" s="3" t="s">
        <v>28</v>
      </c>
      <c r="N30" s="3"/>
      <c r="O30" s="3"/>
      <c r="P30" s="3"/>
    </row>
    <row r="31" spans="1:16" ht="30" x14ac:dyDescent="0.25">
      <c r="A31" s="3" t="s">
        <v>229</v>
      </c>
      <c r="B31" s="3" t="s">
        <v>221</v>
      </c>
      <c r="C31" s="3" t="s">
        <v>222</v>
      </c>
      <c r="D31" s="3" t="s">
        <v>208</v>
      </c>
      <c r="E31" s="3" t="s">
        <v>230</v>
      </c>
      <c r="F31" s="3" t="s">
        <v>22</v>
      </c>
      <c r="G31" s="3" t="s">
        <v>224</v>
      </c>
      <c r="H31" s="3" t="s">
        <v>225</v>
      </c>
      <c r="I31" s="3" t="s">
        <v>231</v>
      </c>
      <c r="J31" s="3" t="s">
        <v>232</v>
      </c>
      <c r="K31" s="3" t="s">
        <v>233</v>
      </c>
      <c r="L31" s="3"/>
      <c r="M31" s="3" t="s">
        <v>28</v>
      </c>
      <c r="N31" s="3"/>
      <c r="O31" s="3"/>
      <c r="P31" s="3"/>
    </row>
    <row r="32" spans="1:16" ht="45" x14ac:dyDescent="0.25">
      <c r="A32" s="3" t="s">
        <v>234</v>
      </c>
      <c r="B32" s="3" t="s">
        <v>235</v>
      </c>
      <c r="C32" s="3" t="s">
        <v>236</v>
      </c>
      <c r="D32" s="3" t="s">
        <v>208</v>
      </c>
      <c r="E32" s="3" t="s">
        <v>237</v>
      </c>
      <c r="F32" s="3" t="s">
        <v>22</v>
      </c>
      <c r="G32" s="3" t="s">
        <v>238</v>
      </c>
      <c r="H32" s="3" t="s">
        <v>211</v>
      </c>
      <c r="I32" s="3" t="s">
        <v>239</v>
      </c>
      <c r="J32" s="3" t="s">
        <v>240</v>
      </c>
      <c r="K32" s="3" t="s">
        <v>241</v>
      </c>
      <c r="L32" s="3"/>
      <c r="M32" s="3" t="s">
        <v>28</v>
      </c>
      <c r="N32" s="3"/>
      <c r="O32" s="3"/>
      <c r="P32" s="3"/>
    </row>
    <row r="33" spans="1:16" ht="30" x14ac:dyDescent="0.25">
      <c r="A33" s="3" t="s">
        <v>242</v>
      </c>
      <c r="B33" s="3" t="s">
        <v>243</v>
      </c>
      <c r="C33" s="3" t="s">
        <v>244</v>
      </c>
      <c r="D33" s="3" t="s">
        <v>245</v>
      </c>
      <c r="E33" s="3" t="s">
        <v>246</v>
      </c>
      <c r="F33" s="3" t="s">
        <v>22</v>
      </c>
      <c r="G33" s="3" t="s">
        <v>247</v>
      </c>
      <c r="H33" s="3" t="s">
        <v>248</v>
      </c>
      <c r="I33" s="3" t="s">
        <v>249</v>
      </c>
      <c r="J33" s="3" t="s">
        <v>250</v>
      </c>
      <c r="K33" s="3" t="s">
        <v>251</v>
      </c>
      <c r="L33" s="3"/>
      <c r="M33" s="3" t="s">
        <v>28</v>
      </c>
      <c r="N33" s="3"/>
      <c r="O33" s="3"/>
      <c r="P33" s="3"/>
    </row>
    <row r="34" spans="1:16" ht="45" x14ac:dyDescent="0.25">
      <c r="A34" s="3" t="s">
        <v>252</v>
      </c>
      <c r="B34" s="3" t="s">
        <v>243</v>
      </c>
      <c r="C34" s="3" t="s">
        <v>244</v>
      </c>
      <c r="D34" s="3" t="s">
        <v>245</v>
      </c>
      <c r="E34" s="3" t="s">
        <v>253</v>
      </c>
      <c r="F34" s="3" t="s">
        <v>22</v>
      </c>
      <c r="G34" s="3" t="s">
        <v>254</v>
      </c>
      <c r="H34" s="3" t="s">
        <v>255</v>
      </c>
      <c r="I34" s="3" t="s">
        <v>256</v>
      </c>
      <c r="J34" s="3" t="s">
        <v>257</v>
      </c>
      <c r="K34" s="3" t="s">
        <v>258</v>
      </c>
      <c r="L34" s="3"/>
      <c r="M34" s="3" t="s">
        <v>28</v>
      </c>
      <c r="N34" s="3"/>
      <c r="O34" s="3"/>
      <c r="P34" s="3"/>
    </row>
    <row r="35" spans="1:16" ht="30" x14ac:dyDescent="0.25">
      <c r="A35" s="3" t="s">
        <v>259</v>
      </c>
      <c r="B35" s="3" t="s">
        <v>243</v>
      </c>
      <c r="C35" s="3" t="s">
        <v>244</v>
      </c>
      <c r="D35" s="3" t="s">
        <v>245</v>
      </c>
      <c r="E35" s="3" t="s">
        <v>260</v>
      </c>
      <c r="F35" s="3" t="s">
        <v>22</v>
      </c>
      <c r="G35" s="3" t="s">
        <v>176</v>
      </c>
      <c r="H35" s="3" t="s">
        <v>255</v>
      </c>
      <c r="I35" s="3" t="s">
        <v>261</v>
      </c>
      <c r="J35" s="3" t="s">
        <v>262</v>
      </c>
      <c r="K35" s="3" t="s">
        <v>263</v>
      </c>
      <c r="L35" s="3"/>
      <c r="M35" s="3" t="s">
        <v>28</v>
      </c>
      <c r="N35" s="3"/>
      <c r="O35" s="3"/>
      <c r="P35" s="3"/>
    </row>
    <row r="36" spans="1:16" ht="45" x14ac:dyDescent="0.25">
      <c r="A36" s="3" t="s">
        <v>264</v>
      </c>
      <c r="B36" s="3" t="s">
        <v>243</v>
      </c>
      <c r="C36" s="3" t="s">
        <v>244</v>
      </c>
      <c r="D36" s="3" t="s">
        <v>245</v>
      </c>
      <c r="E36" s="3" t="s">
        <v>265</v>
      </c>
      <c r="F36" s="3" t="s">
        <v>22</v>
      </c>
      <c r="G36" s="3" t="s">
        <v>254</v>
      </c>
      <c r="H36" s="3" t="s">
        <v>255</v>
      </c>
      <c r="I36" s="3" t="s">
        <v>266</v>
      </c>
      <c r="J36" s="3" t="s">
        <v>267</v>
      </c>
      <c r="K36" s="3" t="s">
        <v>268</v>
      </c>
      <c r="L36" s="3"/>
      <c r="M36" s="3" t="s">
        <v>28</v>
      </c>
      <c r="N36" s="3"/>
      <c r="O36" s="3"/>
      <c r="P36" s="3"/>
    </row>
    <row r="37" spans="1:16" ht="30" x14ac:dyDescent="0.25">
      <c r="A37" s="3" t="s">
        <v>269</v>
      </c>
      <c r="B37" s="3" t="s">
        <v>270</v>
      </c>
      <c r="C37" s="3" t="s">
        <v>271</v>
      </c>
      <c r="D37" s="3" t="s">
        <v>272</v>
      </c>
      <c r="E37" s="3" t="s">
        <v>273</v>
      </c>
      <c r="F37" s="3" t="s">
        <v>144</v>
      </c>
      <c r="G37" s="3" t="s">
        <v>176</v>
      </c>
      <c r="H37" s="3" t="s">
        <v>255</v>
      </c>
      <c r="I37" s="3" t="s">
        <v>274</v>
      </c>
      <c r="J37" s="3" t="s">
        <v>275</v>
      </c>
      <c r="K37" s="3" t="s">
        <v>276</v>
      </c>
      <c r="L37" s="3"/>
      <c r="M37" s="3" t="s">
        <v>28</v>
      </c>
      <c r="N37" s="3"/>
      <c r="O37" s="3"/>
      <c r="P37" s="3"/>
    </row>
    <row r="38" spans="1:16" ht="45" x14ac:dyDescent="0.25">
      <c r="A38" s="3" t="s">
        <v>277</v>
      </c>
      <c r="B38" s="3" t="s">
        <v>278</v>
      </c>
      <c r="C38" s="3" t="s">
        <v>279</v>
      </c>
      <c r="D38" s="3" t="s">
        <v>280</v>
      </c>
      <c r="E38" s="3" t="s">
        <v>281</v>
      </c>
      <c r="F38" s="3" t="s">
        <v>22</v>
      </c>
      <c r="G38" s="3" t="s">
        <v>247</v>
      </c>
      <c r="H38" s="3" t="s">
        <v>282</v>
      </c>
      <c r="I38" s="3" t="s">
        <v>283</v>
      </c>
      <c r="J38" s="3" t="s">
        <v>284</v>
      </c>
      <c r="K38" s="3" t="s">
        <v>285</v>
      </c>
      <c r="L38" s="3"/>
      <c r="M38" s="3" t="s">
        <v>28</v>
      </c>
      <c r="N38" s="3"/>
      <c r="O38" s="3"/>
      <c r="P38" s="3"/>
    </row>
    <row r="39" spans="1:16" ht="45" x14ac:dyDescent="0.25">
      <c r="A39" s="3" t="s">
        <v>286</v>
      </c>
      <c r="B39" s="3" t="s">
        <v>278</v>
      </c>
      <c r="C39" s="3" t="s">
        <v>287</v>
      </c>
      <c r="D39" s="3" t="s">
        <v>280</v>
      </c>
      <c r="E39" s="3" t="s">
        <v>288</v>
      </c>
      <c r="F39" s="3" t="s">
        <v>22</v>
      </c>
      <c r="G39" s="3" t="s">
        <v>247</v>
      </c>
      <c r="H39" s="3" t="s">
        <v>289</v>
      </c>
      <c r="I39" s="3" t="s">
        <v>290</v>
      </c>
      <c r="J39" s="3" t="s">
        <v>291</v>
      </c>
      <c r="K39" s="3" t="s">
        <v>292</v>
      </c>
      <c r="L39" s="3"/>
      <c r="M39" s="3" t="s">
        <v>28</v>
      </c>
      <c r="N39" s="3"/>
      <c r="O39" s="3"/>
      <c r="P39" s="3"/>
    </row>
    <row r="40" spans="1:16" ht="30" x14ac:dyDescent="0.25">
      <c r="A40" s="3" t="s">
        <v>293</v>
      </c>
      <c r="B40" s="3" t="s">
        <v>294</v>
      </c>
      <c r="C40" s="3" t="s">
        <v>295</v>
      </c>
      <c r="D40" s="3" t="s">
        <v>296</v>
      </c>
      <c r="E40" s="3" t="s">
        <v>297</v>
      </c>
      <c r="F40" s="3" t="s">
        <v>22</v>
      </c>
      <c r="G40" s="3" t="s">
        <v>298</v>
      </c>
      <c r="H40" s="3" t="s">
        <v>299</v>
      </c>
      <c r="I40" s="3" t="s">
        <v>300</v>
      </c>
      <c r="J40" s="3" t="s">
        <v>301</v>
      </c>
      <c r="K40" s="3" t="s">
        <v>302</v>
      </c>
      <c r="L40" s="3"/>
      <c r="M40" s="3" t="s">
        <v>28</v>
      </c>
      <c r="N40" s="3"/>
      <c r="O40" s="3"/>
      <c r="P40" s="3"/>
    </row>
    <row r="41" spans="1:16" ht="30" x14ac:dyDescent="0.25">
      <c r="A41" s="3" t="s">
        <v>303</v>
      </c>
      <c r="B41" s="3" t="s">
        <v>294</v>
      </c>
      <c r="C41" s="3" t="s">
        <v>295</v>
      </c>
      <c r="D41" s="3" t="s">
        <v>296</v>
      </c>
      <c r="E41" s="3" t="s">
        <v>304</v>
      </c>
      <c r="F41" s="3" t="s">
        <v>22</v>
      </c>
      <c r="G41" s="3" t="s">
        <v>298</v>
      </c>
      <c r="H41" s="3" t="s">
        <v>305</v>
      </c>
      <c r="I41" s="3" t="s">
        <v>306</v>
      </c>
      <c r="J41" s="3" t="s">
        <v>301</v>
      </c>
      <c r="K41" s="3" t="s">
        <v>307</v>
      </c>
      <c r="L41" s="3"/>
      <c r="M41" s="3" t="s">
        <v>28</v>
      </c>
      <c r="N41" s="3"/>
      <c r="O41" s="3"/>
      <c r="P41" s="3"/>
    </row>
    <row r="42" spans="1:16" ht="30" x14ac:dyDescent="0.25">
      <c r="A42" s="3" t="s">
        <v>308</v>
      </c>
      <c r="B42" s="3" t="s">
        <v>294</v>
      </c>
      <c r="C42" s="3" t="s">
        <v>295</v>
      </c>
      <c r="D42" s="3" t="s">
        <v>296</v>
      </c>
      <c r="E42" s="3" t="s">
        <v>309</v>
      </c>
      <c r="F42" s="3" t="s">
        <v>22</v>
      </c>
      <c r="G42" s="3" t="s">
        <v>298</v>
      </c>
      <c r="H42" s="3" t="s">
        <v>310</v>
      </c>
      <c r="I42" s="3" t="s">
        <v>311</v>
      </c>
      <c r="J42" s="3" t="s">
        <v>301</v>
      </c>
      <c r="K42" s="3" t="s">
        <v>312</v>
      </c>
      <c r="L42" s="3"/>
      <c r="M42" s="3" t="s">
        <v>28</v>
      </c>
      <c r="N42" s="3"/>
      <c r="O42" s="3"/>
      <c r="P42" s="3"/>
    </row>
    <row r="43" spans="1:16" ht="45" x14ac:dyDescent="0.25">
      <c r="A43" s="3" t="s">
        <v>313</v>
      </c>
      <c r="B43" s="3" t="s">
        <v>314</v>
      </c>
      <c r="C43" s="3" t="s">
        <v>315</v>
      </c>
      <c r="D43" s="3" t="s">
        <v>316</v>
      </c>
      <c r="E43" s="3" t="s">
        <v>317</v>
      </c>
      <c r="F43" s="3" t="s">
        <v>144</v>
      </c>
      <c r="G43" s="3" t="s">
        <v>318</v>
      </c>
      <c r="H43" s="3" t="s">
        <v>319</v>
      </c>
      <c r="I43" s="3" t="s">
        <v>320</v>
      </c>
      <c r="J43" s="3" t="s">
        <v>321</v>
      </c>
      <c r="K43" s="3" t="s">
        <v>322</v>
      </c>
      <c r="L43" s="3"/>
      <c r="M43" s="3" t="s">
        <v>28</v>
      </c>
      <c r="N43" s="3"/>
      <c r="O43" s="3"/>
      <c r="P43" s="3" t="s">
        <v>323</v>
      </c>
    </row>
  </sheetData>
  <mergeCells count="1">
    <mergeCell ref="A1:P1"/>
  </mergeCells>
  <conditionalFormatting sqref="M3:M43">
    <cfRule type="expression" dxfId="3" priority="1">
      <formula>M3="Pass"</formula>
    </cfRule>
    <cfRule type="expression" dxfId="2" priority="2">
      <formula>M3="Fail"</formula>
    </cfRule>
    <cfRule type="expression" dxfId="1" priority="3">
      <formula>M3="Blocked"</formula>
    </cfRule>
  </conditionalFormatting>
  <dataValidations count="2">
    <dataValidation type="list" sqref="M3:M43" xr:uid="{00000000-0002-0000-0000-000000000000}">
      <formula1>"Not Run,Pass,Fail,Blocked"</formula1>
    </dataValidation>
    <dataValidation type="list" sqref="F3:F43" xr:uid="{00000000-0002-0000-00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5" x14ac:dyDescent="0.25"/>
  <cols>
    <col min="1" max="1" width="26" customWidth="1"/>
    <col min="2" max="2" width="48" customWidth="1"/>
  </cols>
  <sheetData>
    <row r="1" spans="1:4" ht="18.75" x14ac:dyDescent="0.25">
      <c r="A1" s="6" t="s">
        <v>324</v>
      </c>
      <c r="B1" s="6"/>
      <c r="C1" s="6"/>
      <c r="D1" s="6"/>
    </row>
    <row r="2" spans="1:4" x14ac:dyDescent="0.25">
      <c r="A2" s="1" t="s">
        <v>325</v>
      </c>
      <c r="B2" s="1" t="s">
        <v>326</v>
      </c>
      <c r="C2" s="2"/>
      <c r="D2" s="2"/>
    </row>
    <row r="3" spans="1:4" x14ac:dyDescent="0.25">
      <c r="A3" s="2" t="s">
        <v>327</v>
      </c>
      <c r="B3" s="2">
        <v>41</v>
      </c>
      <c r="C3" s="2"/>
      <c r="D3" s="2"/>
    </row>
    <row r="4" spans="1:4" x14ac:dyDescent="0.25">
      <c r="A4" s="2" t="s">
        <v>328</v>
      </c>
      <c r="B4" s="2">
        <f>COUNTIF('Test Cases'!M3:M200,"Pass")</f>
        <v>0</v>
      </c>
      <c r="C4" s="2"/>
      <c r="D4" s="2"/>
    </row>
    <row r="5" spans="1:4" x14ac:dyDescent="0.25">
      <c r="A5" s="2" t="s">
        <v>329</v>
      </c>
      <c r="B5" s="2">
        <f>COUNTIF('Test Cases'!M3:M200,"Fail")</f>
        <v>0</v>
      </c>
      <c r="C5" s="2"/>
      <c r="D5" s="2"/>
    </row>
    <row r="6" spans="1:4" x14ac:dyDescent="0.25">
      <c r="A6" s="2" t="s">
        <v>330</v>
      </c>
      <c r="B6" s="2">
        <f>COUNTIF('Test Cases'!M3:M200,"Blocked")</f>
        <v>0</v>
      </c>
      <c r="C6" s="2"/>
      <c r="D6" s="2"/>
    </row>
    <row r="7" spans="1:4" x14ac:dyDescent="0.25">
      <c r="A7" s="2" t="s">
        <v>28</v>
      </c>
      <c r="B7" s="2">
        <f>COUNTIF('Test Cases'!M3:M200,"Not Run")</f>
        <v>41</v>
      </c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 t="s">
        <v>331</v>
      </c>
      <c r="B9" s="4">
        <f>IF((B4+B5+B6)&gt;0,B4/(B4+B5+B6),0)</f>
        <v>0</v>
      </c>
      <c r="C9" s="2"/>
      <c r="D9" s="2"/>
    </row>
    <row r="10" spans="1:4" x14ac:dyDescent="0.25">
      <c r="A10" s="2" t="s">
        <v>332</v>
      </c>
      <c r="B10" s="2" t="s">
        <v>333</v>
      </c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Fatogun</cp:lastModifiedBy>
  <dcterms:modified xsi:type="dcterms:W3CDTF">2026-08-07T22:11:14Z</dcterms:modified>
</cp:coreProperties>
</file>
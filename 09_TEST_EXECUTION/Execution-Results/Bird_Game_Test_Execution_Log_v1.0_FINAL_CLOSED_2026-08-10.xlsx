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iodi\OneDrive\Desktop\bird-game-qa-portfolio-folder-structure\bird-game-qa-portfolio\09_TEST_EXECUTION\Execution-Results\"/>
    </mc:Choice>
  </mc:AlternateContent>
  <xr:revisionPtr revIDLastSave="0" documentId="8_{18B05D85-48EA-457F-B199-263FD0BCE004}" xr6:coauthVersionLast="47" xr6:coauthVersionMax="47" xr10:uidLastSave="{00000000-0000-0000-0000-000000000000}"/>
  <bookViews>
    <workbookView xWindow="28680" yWindow="-1125" windowWidth="29040" windowHeight="15720" xr2:uid="{00000000-000D-0000-FFFF-FFFF00000000}"/>
  </bookViews>
  <sheets>
    <sheet name="Execution Log" sheetId="1" r:id="rId1"/>
    <sheet name="Summary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2" l="1"/>
  <c r="H7" i="2"/>
  <c r="E7" i="2"/>
  <c r="H6" i="2"/>
  <c r="E6" i="2"/>
  <c r="H5" i="2"/>
  <c r="E5" i="2"/>
  <c r="H4" i="2"/>
  <c r="H10" i="2" s="1"/>
  <c r="E4" i="2"/>
  <c r="E9" i="2" l="1"/>
  <c r="E10" i="2"/>
</calcChain>
</file>

<file path=xl/sharedStrings.xml><?xml version="1.0" encoding="utf-8"?>
<sst xmlns="http://schemas.openxmlformats.org/spreadsheetml/2006/main" count="489" uniqueCount="251">
  <si>
    <t>Test Case ID</t>
  </si>
  <si>
    <t>Requirement(s)</t>
  </si>
  <si>
    <t>Jira Story</t>
  </si>
  <si>
    <t>Test Case Title</t>
  </si>
  <si>
    <t>Actual Result</t>
  </si>
  <si>
    <t>Status</t>
  </si>
  <si>
    <t>Environment</t>
  </si>
  <si>
    <t>Evidence</t>
  </si>
  <si>
    <t>Defect ID</t>
  </si>
  <si>
    <t>Execution Notes</t>
  </si>
  <si>
    <t>TC-START-001</t>
  </si>
  <si>
    <t>BR-FR-001</t>
  </si>
  <si>
    <t>BG-8</t>
  </si>
  <si>
    <t>Verify initial game state</t>
  </si>
  <si>
    <t>The game opened with the bird visible, score displayed as 0, and the start instruction displayed. However, the first obstacle was not visible in the initial game state.</t>
  </si>
  <si>
    <t>Fail</t>
  </si>
  <si>
    <t>Windows desktop | Google Chrome 151.0.7922.109 (64-bit) | Bird Game v1 local build | source/index.html</t>
  </si>
  <si>
    <t>TC-START-001_Initial_State_FAIL_2026-08-10.png</t>
  </si>
  <si>
    <t>BG-27</t>
  </si>
  <si>
    <t>TC-START-002</t>
  </si>
  <si>
    <t>BR-FR-002</t>
  </si>
  <si>
    <t>BG-9</t>
  </si>
  <si>
    <t>Verify game remains idle before start</t>
  </si>
  <si>
    <t>The bird remained stationary for approximately 3 seconds without any player input. However, the obstacle was not visible due to BG-27, so its idle behaviour could not be verified.</t>
  </si>
  <si>
    <t>Blocked</t>
  </si>
  <si>
    <t>TC-START-003</t>
  </si>
  <si>
    <t>BR-FR-003</t>
  </si>
  <si>
    <t>BG-10</t>
  </si>
  <si>
    <t>Start game with Up Arrow</t>
  </si>
  <si>
    <t>Pressing and briefly holding the Up Arrow started gameplay. The bird moved upward while the Up Arrow was held, and the start instruction disappeared.</t>
  </si>
  <si>
    <t>Pass</t>
  </si>
  <si>
    <t>TC-START-004</t>
  </si>
  <si>
    <t>Start game with Down Arrow</t>
  </si>
  <si>
    <t>Pressing and briefly holding the Down Arrow started gameplay. The bird moved downward while the Down Arrow was held, and the start instruction disappeared.</t>
  </si>
  <si>
    <t>TC-START-005</t>
  </si>
  <si>
    <t>Start game with Space</t>
  </si>
  <si>
    <t>Pressing the Space bar once started gameplay. The bird performed an upward jump and the start instruction disappeared.</t>
  </si>
  <si>
    <t>TC-START-006</t>
  </si>
  <si>
    <t>Start game with mouse click</t>
  </si>
  <si>
    <t>Clicking once inside the game area did not start gameplay. The bird did not perform an upward jump and the start instruction remained visible.</t>
  </si>
  <si>
    <t>TC-START-006_Mouse_Click_Start_FAIL_2026-08-10.png</t>
  </si>
  <si>
    <t>BG-28</t>
  </si>
  <si>
    <t>Issue reproduced after Ctrl + R. Clicking inside the game area did not start gameplay on the repeated attempt.</t>
  </si>
  <si>
    <t>TC-START-007</t>
  </si>
  <si>
    <t>Start game with on-screen Up button</t>
  </si>
  <si>
    <t>Using the on-screen Up control started gameplay. The bird moved upward while the control was held, and the start instruction disappeared.</t>
  </si>
  <si>
    <t>Expected behaviour observed. No defect identified.</t>
  </si>
  <si>
    <t>TC-MOVE-002</t>
  </si>
  <si>
    <t>BR-FR-005</t>
  </si>
  <si>
    <t>BG-11</t>
  </si>
  <si>
    <t>Verify Down Arrow continuous movement and release</t>
  </si>
  <si>
    <t>TC-MOVE-003</t>
  </si>
  <si>
    <t>BR-FR-006</t>
  </si>
  <si>
    <t>BG-12</t>
  </si>
  <si>
    <t>Verify Space gives a single upward jump</t>
  </si>
  <si>
    <t>TC-MOVE-004</t>
  </si>
  <si>
    <t>BR-FR-007</t>
  </si>
  <si>
    <t>Verify mouse click gives a single upward jump</t>
  </si>
  <si>
    <t>TC-MOVE-005</t>
  </si>
  <si>
    <t>BR-FR-008</t>
  </si>
  <si>
    <t>Verify on-screen Up continuous movement</t>
  </si>
  <si>
    <t>TC-MOVE-006</t>
  </si>
  <si>
    <t>Verify on-screen Down continuous movement</t>
  </si>
  <si>
    <t>TC-MOVE-007</t>
  </si>
  <si>
    <t>BR-FR-009</t>
  </si>
  <si>
    <t>BG-13</t>
  </si>
  <si>
    <t>Verify gravity after manual input stops</t>
  </si>
  <si>
    <t>TC-OBS-001</t>
  </si>
  <si>
    <t>BR-FR-010</t>
  </si>
  <si>
    <t>BG-14</t>
  </si>
  <si>
    <t>Verify obstacle moves right to left</t>
  </si>
  <si>
    <t>TC-OBS-002</t>
  </si>
  <si>
    <t>BR-FR-011</t>
  </si>
  <si>
    <t>Verify obstacle recycles after leaving left edge</t>
  </si>
  <si>
    <t>TC-OBS-003</t>
  </si>
  <si>
    <t>BR-FR-012</t>
  </si>
  <si>
    <t>BG-15</t>
  </si>
  <si>
    <t>Verify opening position randomises on reset</t>
  </si>
  <si>
    <t>TC-OBS-004</t>
  </si>
  <si>
    <t>BR-FR-013</t>
  </si>
  <si>
    <t>Verify obstacle opening height is 160px</t>
  </si>
  <si>
    <t>TC-OBS-005</t>
  </si>
  <si>
    <t>Verify opening stays fully inside playable area</t>
  </si>
  <si>
    <t>TC-SCORE-001</t>
  </si>
  <si>
    <t>BR-FR-014</t>
  </si>
  <si>
    <t>BG-16</t>
  </si>
  <si>
    <t>Verify starting score is 0</t>
  </si>
  <si>
    <t>TC-SCORE-002</t>
  </si>
  <si>
    <t>BR-FR-017</t>
  </si>
  <si>
    <t>Verify score remains visible during gameplay</t>
  </si>
  <si>
    <t>TC-SCORE-003</t>
  </si>
  <si>
    <t>BR-FR-015</t>
  </si>
  <si>
    <t>BG-17</t>
  </si>
  <si>
    <t>Verify score increments after successful pass</t>
  </si>
  <si>
    <t>TC-SCORE-004</t>
  </si>
  <si>
    <t>BR-FR-016</t>
  </si>
  <si>
    <t>Verify no duplicate scoring for same pass</t>
  </si>
  <si>
    <t>TC-SCORE-005</t>
  </si>
  <si>
    <t>BR-FR-015; BR-FR-016</t>
  </si>
  <si>
    <t>Verify later recycled pass can score again</t>
  </si>
  <si>
    <t>TC-COLL-001</t>
  </si>
  <si>
    <t>BR-FR-018</t>
  </si>
  <si>
    <t>BG-18</t>
  </si>
  <si>
    <t>Verify upper pipe collision triggers Game Over</t>
  </si>
  <si>
    <t>TC-COLL-002</t>
  </si>
  <si>
    <t>Verify lower pipe collision triggers Game Over</t>
  </si>
  <si>
    <t>TC-COLL-003</t>
  </si>
  <si>
    <t>BR-FR-019</t>
  </si>
  <si>
    <t>Verify top boundary triggers Game Over</t>
  </si>
  <si>
    <t>TC-COLL-004</t>
  </si>
  <si>
    <t>Verify bottom boundary triggers Game Over</t>
  </si>
  <si>
    <t>TC-COLL-005</t>
  </si>
  <si>
    <t>BR-FR-020</t>
  </si>
  <si>
    <t>Verify safe gap passage does not trigger Game Over</t>
  </si>
  <si>
    <t>TC-GO-001</t>
  </si>
  <si>
    <t>BR-FR-021</t>
  </si>
  <si>
    <t>BG-19</t>
  </si>
  <si>
    <t>Verify gameplay stops after Game Over</t>
  </si>
  <si>
    <t>TC-GO-002</t>
  </si>
  <si>
    <t>Verify no scoring after Game Over</t>
  </si>
  <si>
    <t>TC-GO-003</t>
  </si>
  <si>
    <t>Verify final score is shown</t>
  </si>
  <si>
    <t>TC-GO-004</t>
  </si>
  <si>
    <t>Verify movement controls are disabled after Game Over</t>
  </si>
  <si>
    <t>TC-RESTART-001</t>
  </si>
  <si>
    <t>BR-FR-022</t>
  </si>
  <si>
    <t>BG-20</t>
  </si>
  <si>
    <t>Verify Restart button is available after Game Over</t>
  </si>
  <si>
    <t>TC-RESTART-002</t>
  </si>
  <si>
    <t>BR-FR-023</t>
  </si>
  <si>
    <t>BG-21</t>
  </si>
  <si>
    <t>Verify Restart resets score/bird/obstacle/instructions</t>
  </si>
  <si>
    <t>TC-RESTART-003</t>
  </si>
  <si>
    <t>BR-FR-024</t>
  </si>
  <si>
    <t>Verify Restart returns to idle without auto-start</t>
  </si>
  <si>
    <t>TC-COMP-001</t>
  </si>
  <si>
    <t>BR-NFR-001</t>
  </si>
  <si>
    <t>BG-22</t>
  </si>
  <si>
    <t>Verify core gameplay flow in Google Chrome</t>
  </si>
  <si>
    <t>TC-COMP-002</t>
  </si>
  <si>
    <t>Verify core gameplay flow in Microsoft Edge</t>
  </si>
  <si>
    <t>TC-COMP-003</t>
  </si>
  <si>
    <t>Verify core gameplay flow in Mozilla Firefox</t>
  </si>
  <si>
    <t>TC-RESP-001</t>
  </si>
  <si>
    <t>BR-NFR-002</t>
  </si>
  <si>
    <t>BG-23</t>
  </si>
  <si>
    <t>Verify layout and controls on representative smaller screen</t>
  </si>
  <si>
    <t>Bird Game - Manual Test Execution Log | Version 1.0 | Final Closure Update | 10 August 2026</t>
  </si>
  <si>
    <t>Retest Result</t>
  </si>
  <si>
    <t>Retest Evidence</t>
  </si>
  <si>
    <t>Final Disposition</t>
  </si>
  <si>
    <t>Issue reproduced after Ctrl + R. First obstacle remained absent in the initial game state.</t>
  </si>
  <si>
    <t>PASS - BG-27 retest</t>
  </si>
  <si>
    <t>TC-START-001_BG-27_RETEST_PASS_2026-08-10.png</t>
  </si>
  <si>
    <t>Pass after BG-27 fix</t>
  </si>
  <si>
    <t>Blocked by BG-27 because the first obstacle is absent from the initial game state. Bird idle behaviour was verified successfully, but obstacle idle behaviour could not be tested.</t>
  </si>
  <si>
    <t>PASS - blocker removed and retested</t>
  </si>
  <si>
    <t>TC-START-002_BG-27_RETEST_PASS_2026-08-10.png</t>
  </si>
  <si>
    <t>Pass after BG-27 blocker removed</t>
  </si>
  <si>
    <t>Not required</t>
  </si>
  <si>
    <t>Pass - unchanged</t>
  </si>
  <si>
    <t>Controlled Chromium: 20/20 PASS; manual retest inconsistent</t>
  </si>
  <si>
    <t>BG-28_Controlled_Chromium_Retest_20_Attempts_VALID_2026-08-10.csv</t>
  </si>
  <si>
    <t>Closed - Not Reproducible (BG-28); observation retained</t>
  </si>
  <si>
    <t>TC-START-008</t>
  </si>
  <si>
    <t>Start game with on-screen Down button</t>
  </si>
  <si>
    <t>Using the on-screen Down control started gameplay. The bird moved downward while the control was held, and the start instruction disappeared.</t>
  </si>
  <si>
    <t>TC-MOVE-001</t>
  </si>
  <si>
    <t>BR-FR-004</t>
  </si>
  <si>
    <t>Verify Up Arrow continuous movement and release</t>
  </si>
  <si>
    <t>The bird moved upward continuously while the Up Arrow was held and the expected release behaviour was observed.</t>
  </si>
  <si>
    <t>The bird moved downward continuously while the Down Arrow was held and the expected release behaviour was observed.</t>
  </si>
  <si>
    <t>A single press of the Space bar produced one upward jump as expected.</t>
  </si>
  <si>
    <t>During active gameplay, a mouse click produced one upward jump as expected.</t>
  </si>
  <si>
    <t>The bird moved upward continuously while the on-screen Up control was held.</t>
  </si>
  <si>
    <t>The bird moved downward continuously while the on-screen Down control was held.</t>
  </si>
  <si>
    <t>After manual input stopped, gravity moved the bird downward as expected.</t>
  </si>
  <si>
    <t>The obstacle moved continuously from right to left during gameplay.</t>
  </si>
  <si>
    <t>After leaving the left edge, the obstacle reappeared from the right and continued through the play area.</t>
  </si>
  <si>
    <t>The obstacle opening appeared at different vertical positions after successive resets.</t>
  </si>
  <si>
    <t>The obstacle opening matched the specified 160 px height.</t>
  </si>
  <si>
    <t>The obstacle opening remained fully within the playable area.</t>
  </si>
  <si>
    <t>The score displayed 0 at the start of the game.</t>
  </si>
  <si>
    <t>The score remained visible throughout gameplay.</t>
  </si>
  <si>
    <t>The score increased by one after a successful obstacle pass.</t>
  </si>
  <si>
    <t>A successful obstacle pass was counted once only; no duplicate score was added for the same pass.</t>
  </si>
  <si>
    <t>A later successful pass after obstacle recycling increased the score again without duplicating the earlier pass.</t>
  </si>
  <si>
    <t>Contact with the upper pipe triggered Game Over.</t>
  </si>
  <si>
    <t>Contact with the lower pipe triggered Game Over.</t>
  </si>
  <si>
    <t>Contact with the top boundary triggered Game Over.</t>
  </si>
  <si>
    <t>Contact with the bottom boundary triggered Game Over.</t>
  </si>
  <si>
    <t>Passing safely through the obstacle gap did not trigger Game Over.</t>
  </si>
  <si>
    <t>Gameplay stopped when Game Over was triggered.</t>
  </si>
  <si>
    <t>The score did not increase after Game Over.</t>
  </si>
  <si>
    <t>The final score remained visible after Game Over.</t>
  </si>
  <si>
    <t>Movement controls no longer moved the bird after Game Over.</t>
  </si>
  <si>
    <t>The Restart button was available after Game Over.</t>
  </si>
  <si>
    <t>Restart reset the score, bird, obstacle and start instructions to the expected initial state.</t>
  </si>
  <si>
    <t>After Restart, the game returned to the idle state and did not start automatically.</t>
  </si>
  <si>
    <t>The core gameplay flow completed successfully in Google Chrome.</t>
  </si>
  <si>
    <t>The core gameplay flow completed successfully in Microsoft Edge.</t>
  </si>
  <si>
    <t>Windows desktop | Microsoft Edge | Bird Game v1 local build | source/index.html</t>
  </si>
  <si>
    <t>The core gameplay flow completed successfully in Mozilla Firefox.</t>
  </si>
  <si>
    <t>Windows desktop | Mozilla Firefox | Bird Game v1 local build | source/index.html</t>
  </si>
  <si>
    <t>The layout remained usable and the on-screen controls remained available on the representative smaller-screen configuration.</t>
  </si>
  <si>
    <t>Windows desktop | Representative smaller-screen configuration | Bird Game v1 local build</t>
  </si>
  <si>
    <t>Bird Game - Test Execution Summary | Final Closure</t>
  </si>
  <si>
    <t>Project</t>
  </si>
  <si>
    <t>Bird Game QA Portfolio</t>
  </si>
  <si>
    <t>Initial Execution</t>
  </si>
  <si>
    <t>Result</t>
  </si>
  <si>
    <t>Final Closure</t>
  </si>
  <si>
    <t>Test cycle</t>
  </si>
  <si>
    <t>Manual Test Cycle v1.0</t>
  </si>
  <si>
    <t>Total planned</t>
  </si>
  <si>
    <t>Confirmed Pass</t>
  </si>
  <si>
    <t>Execution date</t>
  </si>
  <si>
    <t>10 August 2026</t>
  </si>
  <si>
    <t>Closed - Not Reproducible</t>
  </si>
  <si>
    <t>Closure date</t>
  </si>
  <si>
    <t>Open Fail</t>
  </si>
  <si>
    <t>Build / source</t>
  </si>
  <si>
    <t>Bird Game v1 local build | source/index.html</t>
  </si>
  <si>
    <t>Not Run</t>
  </si>
  <si>
    <t>Open defects</t>
  </si>
  <si>
    <t>Execution completion</t>
  </si>
  <si>
    <t>Defects closed</t>
  </si>
  <si>
    <t>Pass rate</t>
  </si>
  <si>
    <t>Disposition completion</t>
  </si>
  <si>
    <t>Final Defect Register</t>
  </si>
  <si>
    <t>Summary</t>
  </si>
  <si>
    <t>Final Status</t>
  </si>
  <si>
    <t>Resolution</t>
  </si>
  <si>
    <t>Related Test(s)</t>
  </si>
  <si>
    <t>Retest Outcome</t>
  </si>
  <si>
    <t>Code Change</t>
  </si>
  <si>
    <t>Residual Note</t>
  </si>
  <si>
    <t>First obstacle is not visible in the initial game state</t>
  </si>
  <si>
    <t>Done</t>
  </si>
  <si>
    <t>Fixed</t>
  </si>
  <si>
    <t>TC-START-001; TC-START-002</t>
  </si>
  <si>
    <t>Both tests PASS on retest</t>
  </si>
  <si>
    <t>Initial obstacle position corrected</t>
  </si>
  <si>
    <t>No open blocker.</t>
  </si>
  <si>
    <t>Mouse click does not start gameplay from the initial state</t>
  </si>
  <si>
    <t>Not Reproducible</t>
  </si>
  <si>
    <t>20/20 controlled Chromium PASS; manual inconsistency retained</t>
  </si>
  <si>
    <t>No BG-28-specific code change</t>
  </si>
  <si>
    <t>Environment-specific/manual inconsistency retained as observation.</t>
  </si>
  <si>
    <t>Closure outcome: the initial execution history remains 38 Pass, 2 Fail and 1 Blocked. BG-27 was fixed and both affected tests passed retest. BG-28 was closed as Not Reproducible after 20/20 controlled Chromium passes, while the inconsistent manual observation was retained. At closure there are 40 confirmed Pass dispositions, 1 closed Not Reproducible observation, 0 open Fail, 0 Blocked and 0 open defects.</t>
  </si>
  <si>
    <t>Residual traceability note: minimum supported smaller-screen dimensions remain undefined; exact Edge and Firefox versions were not recorded; BG-28's environment-specific/manual inconsistency remains documented. No full regression cycle was executed after the BG-27 fix; closure is based on targeted retest and defect disposition.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</si>
</sst>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name val="Carlito"/>
    </font>
    <font>
      <sz val="11"/>
      <color rgb="FFFF0000"/>
      <name val="Carlito"/>
    </font>
    <font>
      <sz val="10"/>
      <color rgb="FF1F1F1F"/>
      <name val="Carlito"/>
    </font>
    <font>
      <b/>
      <sz val="12"/>
      <color rgb="FF9C0006"/>
      <name val="Carlito"/>
    </font>
    <font>
      <b/>
      <sz val="12"/>
      <color rgb="FF595959"/>
      <name val="Carlito"/>
    </font>
    <font>
      <b/>
      <sz val="10"/>
      <color rgb="FF000000"/>
      <name val="Carlito"/>
    </font>
    <font>
      <sz val="10"/>
      <color rgb="FF000000"/>
      <name val="Carlito"/>
    </font>
    <font>
      <b/>
      <sz val="10"/>
      <color rgb="FFFFFFFF"/>
      <name val="Carlito"/>
    </font>
    <font>
      <b/>
      <sz val="12"/>
      <color rgb="FF000000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color rgb="FF006100"/>
      <name val="Carlito"/>
    </font>
    <font>
      <b/>
      <sz val="11"/>
      <color rgb="FF9C6500"/>
      <name val="Carlito"/>
    </font>
    <font>
      <b/>
      <sz val="12"/>
      <color rgb="FF006100"/>
      <name val="Carlito"/>
    </font>
    <font>
      <b/>
      <sz val="12"/>
      <color rgb="FF9C6500"/>
      <name val="Carlito"/>
    </font>
    <font>
      <b/>
      <sz val="10"/>
      <color rgb="FF006100"/>
      <name val="Carlito"/>
    </font>
    <font>
      <b/>
      <sz val="10"/>
      <color rgb="FF9C6500"/>
      <name val="Carlito"/>
    </font>
    <font>
      <i/>
      <sz val="10"/>
      <color rgb="FF404040"/>
      <name val="Carlito"/>
    </font>
    <font>
      <i/>
      <sz val="11"/>
      <color rgb="FF404040"/>
      <name val="Carlito"/>
    </font>
  </fonts>
  <fills count="1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7E6E6"/>
      </patternFill>
    </fill>
    <fill>
      <patternFill patternType="solid">
        <fgColor rgb="FF404040"/>
      </patternFill>
    </fill>
    <fill>
      <patternFill patternType="solid">
        <fgColor rgb="FF808080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D9D9D9"/>
      </patternFill>
    </fill>
    <fill>
      <patternFill patternType="solid">
        <fgColor rgb="FFF2F2F2"/>
      </patternFill>
    </fill>
    <fill>
      <patternFill patternType="solid">
        <fgColor rgb="FFF4CCC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2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164" fontId="8" fillId="2" borderId="0" xfId="0" applyNumberFormat="1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vertical="top" wrapText="1"/>
    </xf>
    <xf numFmtId="0" fontId="9" fillId="4" borderId="0" xfId="0" applyFont="1" applyFill="1" applyAlignment="1">
      <alignment horizontal="left" vertical="center"/>
    </xf>
    <xf numFmtId="0" fontId="7" fillId="5" borderId="1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wrapText="1"/>
    </xf>
    <xf numFmtId="0" fontId="12" fillId="7" borderId="0" xfId="0" applyFont="1" applyFill="1" applyAlignment="1">
      <alignment wrapText="1"/>
    </xf>
    <xf numFmtId="0" fontId="5" fillId="8" borderId="0" xfId="0" applyFont="1" applyFill="1" applyAlignment="1">
      <alignment vertical="center" wrapText="1"/>
    </xf>
    <xf numFmtId="0" fontId="7" fillId="5" borderId="0" xfId="0" applyFont="1" applyFill="1" applyAlignment="1">
      <alignment horizontal="center" vertical="center"/>
    </xf>
    <xf numFmtId="0" fontId="5" fillId="9" borderId="0" xfId="0" applyFont="1" applyFill="1" applyAlignment="1">
      <alignment vertical="center"/>
    </xf>
    <xf numFmtId="0" fontId="5" fillId="9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164" fontId="6" fillId="2" borderId="0" xfId="0" applyNumberFormat="1" applyFont="1" applyFill="1" applyAlignment="1">
      <alignment vertical="center"/>
    </xf>
    <xf numFmtId="0" fontId="15" fillId="6" borderId="0" xfId="0" applyFont="1" applyFill="1" applyAlignment="1">
      <alignment vertical="center"/>
    </xf>
    <xf numFmtId="0" fontId="16" fillId="7" borderId="0" xfId="0" applyFont="1" applyFill="1" applyAlignment="1">
      <alignment vertical="center"/>
    </xf>
    <xf numFmtId="0" fontId="5" fillId="8" borderId="0" xfId="0" applyFont="1" applyFill="1" applyAlignment="1">
      <alignment horizontal="center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6" borderId="0" xfId="0" applyFont="1" applyFill="1" applyAlignment="1">
      <alignment vertical="center" wrapText="1"/>
    </xf>
    <xf numFmtId="0" fontId="16" fillId="7" borderId="0" xfId="0" applyFont="1" applyFill="1" applyAlignment="1">
      <alignment horizontal="center" vertical="center" wrapText="1"/>
    </xf>
    <xf numFmtId="0" fontId="16" fillId="7" borderId="0" xfId="0" applyFont="1" applyFill="1" applyAlignment="1">
      <alignment vertical="center" wrapText="1"/>
    </xf>
    <xf numFmtId="0" fontId="9" fillId="4" borderId="0" xfId="0" applyFont="1" applyFill="1" applyAlignment="1">
      <alignment horizontal="left" vertical="center" wrapText="1"/>
    </xf>
    <xf numFmtId="0" fontId="9" fillId="4" borderId="0" xfId="0" applyFont="1" applyFill="1" applyAlignment="1">
      <alignment horizontal="left" vertical="center"/>
    </xf>
    <xf numFmtId="0" fontId="7" fillId="5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vertical="top" wrapText="1"/>
    </xf>
    <xf numFmtId="0" fontId="17" fillId="11" borderId="0" xfId="0" applyFont="1" applyFill="1" applyAlignment="1">
      <alignment vertical="center" wrapText="1"/>
    </xf>
    <xf numFmtId="0" fontId="18" fillId="11" borderId="0" xfId="0" applyFont="1" applyFill="1" applyAlignment="1">
      <alignment wrapText="1"/>
    </xf>
  </cellXfs>
  <cellStyles count="1">
    <cellStyle name="Normal" xfId="0" builtinId="0"/>
  </cellStyles>
  <dxfs count="5">
    <dxf>
      <font>
        <b/>
        <color rgb="FF595959"/>
      </font>
      <fill>
        <patternFill>
          <bgColor rgb="FFE7E6E6"/>
        </patternFill>
      </fill>
    </dxf>
    <dxf>
      <font>
        <b/>
        <color rgb="FFBF9000"/>
      </font>
      <fill>
        <patternFill>
          <bgColor rgb="FFFFF2CC"/>
        </patternFill>
      </fill>
    </dxf>
    <dxf>
      <font>
        <b/>
        <color rgb="FFC00000"/>
      </font>
      <fill>
        <patternFill>
          <bgColor rgb="FFF4CCCC"/>
        </patternFill>
      </fill>
    </dxf>
    <dxf>
      <font>
        <b/>
        <color rgb="FF548235"/>
      </font>
      <fill>
        <patternFill>
          <bgColor rgb="FFE2F0D9"/>
        </patternFill>
      </fill>
    </dxf>
    <dxf>
      <fill>
        <patternFill>
          <bgColor rgb="FFF2F2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ecutionLogTable" displayName="ExecutionLogTable" ref="A2:J43">
  <tableColumns count="10">
    <tableColumn id="1" xr3:uid="{00000000-0010-0000-0000-000001000000}" name="Test Case ID"/>
    <tableColumn id="2" xr3:uid="{00000000-0010-0000-0000-000002000000}" name="Requirement(s)"/>
    <tableColumn id="3" xr3:uid="{00000000-0010-0000-0000-000003000000}" name="Jira Story"/>
    <tableColumn id="4" xr3:uid="{00000000-0010-0000-0000-000004000000}" name="Test Case Title"/>
    <tableColumn id="5" xr3:uid="{00000000-0010-0000-0000-000005000000}" name="Actual Result"/>
    <tableColumn id="6" xr3:uid="{00000000-0010-0000-0000-000006000000}" name="Status"/>
    <tableColumn id="7" xr3:uid="{00000000-0010-0000-0000-000007000000}" name="Environment"/>
    <tableColumn id="8" xr3:uid="{00000000-0010-0000-0000-000008000000}" name="Evidence"/>
    <tableColumn id="9" xr3:uid="{00000000-0010-0000-0000-000009000000}" name="Defect ID"/>
    <tableColumn id="10" xr3:uid="{00000000-0010-0000-0000-00000A000000}" name="Execution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Office Neutral - No Blue">
      <a:dk1>
        <a:srgbClr val="000000"/>
      </a:dk1>
      <a:lt1>
        <a:srgbClr val="FFFFFF"/>
      </a:lt1>
      <a:dk2>
        <a:srgbClr val="404040"/>
      </a:dk2>
      <a:lt2>
        <a:srgbClr val="F2F2F2"/>
      </a:lt2>
      <a:accent1>
        <a:srgbClr val="404040"/>
      </a:accent1>
      <a:accent2>
        <a:srgbClr val="7F7F7F"/>
      </a:accent2>
      <a:accent3>
        <a:srgbClr val="548235"/>
      </a:accent3>
      <a:accent4>
        <a:srgbClr val="BF9000"/>
      </a:accent4>
      <a:accent5>
        <a:srgbClr val="C00000"/>
      </a:accent5>
      <a:accent6>
        <a:srgbClr val="D9D9D9"/>
      </a:accent6>
      <a:hlink>
        <a:srgbClr val="404040"/>
      </a:hlink>
      <a:folHlink>
        <a:srgbClr val="7F7F7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Neutral - No Blu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tabSelected="1" topLeftCell="A42" workbookViewId="0">
      <selection sqref="A1:J1"/>
    </sheetView>
  </sheetViews>
  <sheetFormatPr defaultRowHeight="15" x14ac:dyDescent="0.25"/>
  <cols>
    <col min="1" max="1" width="16" customWidth="1"/>
    <col min="2" max="2" width="20" customWidth="1"/>
    <col min="3" max="3" width="11" customWidth="1"/>
    <col min="4" max="4" width="36" customWidth="1"/>
    <col min="5" max="5" width="46" customWidth="1"/>
    <col min="6" max="6" width="12" customWidth="1"/>
    <col min="7" max="7" width="42" customWidth="1"/>
    <col min="8" max="8" width="36" customWidth="1"/>
    <col min="9" max="9" width="12" customWidth="1"/>
    <col min="10" max="10" width="42" customWidth="1"/>
    <col min="11" max="11" width="34" customWidth="1"/>
    <col min="12" max="12" width="40" customWidth="1"/>
    <col min="13" max="13" width="36" customWidth="1"/>
  </cols>
  <sheetData>
    <row r="1" spans="1:13" ht="27.95" customHeight="1" x14ac:dyDescent="0.25">
      <c r="A1" s="34" t="s">
        <v>147</v>
      </c>
      <c r="B1" s="34"/>
      <c r="C1" s="34"/>
      <c r="D1" s="34"/>
      <c r="E1" s="34"/>
      <c r="F1" s="34"/>
      <c r="G1" s="34"/>
      <c r="H1" s="34"/>
      <c r="I1" s="34"/>
      <c r="J1" s="34"/>
      <c r="K1" s="14"/>
      <c r="L1" s="14"/>
      <c r="M1" s="14"/>
    </row>
    <row r="2" spans="1:13" s="2" customFormat="1" ht="33.950000000000003" customHeight="1" x14ac:dyDescent="0.25">
      <c r="A2" s="15" t="s">
        <v>0</v>
      </c>
      <c r="B2" s="15" t="s">
        <v>1</v>
      </c>
      <c r="C2" s="15" t="s">
        <v>2</v>
      </c>
      <c r="D2" s="15" t="s">
        <v>3</v>
      </c>
      <c r="E2" s="15" t="s">
        <v>4</v>
      </c>
      <c r="F2" s="15" t="s">
        <v>5</v>
      </c>
      <c r="G2" s="15" t="s">
        <v>6</v>
      </c>
      <c r="H2" s="15" t="s">
        <v>7</v>
      </c>
      <c r="I2" s="15" t="s">
        <v>8</v>
      </c>
      <c r="J2" s="15" t="s">
        <v>9</v>
      </c>
      <c r="K2" s="16" t="s">
        <v>148</v>
      </c>
      <c r="L2" s="16" t="s">
        <v>149</v>
      </c>
      <c r="M2" s="16" t="s">
        <v>150</v>
      </c>
    </row>
    <row r="3" spans="1:13" ht="51.95" customHeight="1" x14ac:dyDescent="0.25">
      <c r="A3" s="12" t="s">
        <v>10</v>
      </c>
      <c r="B3" s="12" t="s">
        <v>11</v>
      </c>
      <c r="C3" s="12" t="s">
        <v>12</v>
      </c>
      <c r="D3" s="13" t="s">
        <v>13</v>
      </c>
      <c r="E3" s="13" t="s">
        <v>14</v>
      </c>
      <c r="F3" s="12" t="s">
        <v>15</v>
      </c>
      <c r="G3" s="13" t="s">
        <v>16</v>
      </c>
      <c r="H3" s="13" t="s">
        <v>17</v>
      </c>
      <c r="I3" s="12" t="s">
        <v>18</v>
      </c>
      <c r="J3" s="13" t="s">
        <v>151</v>
      </c>
      <c r="K3" s="17" t="s">
        <v>152</v>
      </c>
      <c r="L3" s="1" t="s">
        <v>153</v>
      </c>
      <c r="M3" s="17" t="s">
        <v>154</v>
      </c>
    </row>
    <row r="4" spans="1:13" ht="51.95" customHeight="1" x14ac:dyDescent="0.25">
      <c r="A4" s="12" t="s">
        <v>19</v>
      </c>
      <c r="B4" s="12" t="s">
        <v>20</v>
      </c>
      <c r="C4" s="12" t="s">
        <v>21</v>
      </c>
      <c r="D4" s="13" t="s">
        <v>22</v>
      </c>
      <c r="E4" s="13" t="s">
        <v>23</v>
      </c>
      <c r="F4" s="12" t="s">
        <v>24</v>
      </c>
      <c r="G4" s="13" t="s">
        <v>16</v>
      </c>
      <c r="H4" s="13" t="s">
        <v>17</v>
      </c>
      <c r="I4" s="12" t="s">
        <v>18</v>
      </c>
      <c r="J4" s="13" t="s">
        <v>155</v>
      </c>
      <c r="K4" s="17" t="s">
        <v>156</v>
      </c>
      <c r="L4" s="1" t="s">
        <v>157</v>
      </c>
      <c r="M4" s="17" t="s">
        <v>158</v>
      </c>
    </row>
    <row r="5" spans="1:13" ht="51.95" customHeight="1" x14ac:dyDescent="0.25">
      <c r="A5" s="12" t="s">
        <v>25</v>
      </c>
      <c r="B5" s="12" t="s">
        <v>26</v>
      </c>
      <c r="C5" s="12" t="s">
        <v>27</v>
      </c>
      <c r="D5" s="13" t="s">
        <v>28</v>
      </c>
      <c r="E5" s="13" t="s">
        <v>29</v>
      </c>
      <c r="F5" s="12" t="s">
        <v>30</v>
      </c>
      <c r="G5" s="13" t="s">
        <v>16</v>
      </c>
      <c r="H5" s="13"/>
      <c r="I5" s="12"/>
      <c r="J5" s="13" t="s">
        <v>46</v>
      </c>
      <c r="K5" s="1" t="s">
        <v>159</v>
      </c>
      <c r="L5" s="1"/>
      <c r="M5" s="1" t="s">
        <v>160</v>
      </c>
    </row>
    <row r="6" spans="1:13" ht="51.95" customHeight="1" x14ac:dyDescent="0.25">
      <c r="A6" s="12" t="s">
        <v>31</v>
      </c>
      <c r="B6" s="12" t="s">
        <v>26</v>
      </c>
      <c r="C6" s="12" t="s">
        <v>27</v>
      </c>
      <c r="D6" s="13" t="s">
        <v>32</v>
      </c>
      <c r="E6" s="13" t="s">
        <v>33</v>
      </c>
      <c r="F6" s="12" t="s">
        <v>30</v>
      </c>
      <c r="G6" s="13" t="s">
        <v>16</v>
      </c>
      <c r="H6" s="13"/>
      <c r="I6" s="12"/>
      <c r="J6" s="13" t="s">
        <v>46</v>
      </c>
      <c r="K6" s="1" t="s">
        <v>159</v>
      </c>
      <c r="L6" s="1"/>
      <c r="M6" s="1" t="s">
        <v>160</v>
      </c>
    </row>
    <row r="7" spans="1:13" ht="51.95" customHeight="1" x14ac:dyDescent="0.25">
      <c r="A7" s="12" t="s">
        <v>34</v>
      </c>
      <c r="B7" s="12" t="s">
        <v>26</v>
      </c>
      <c r="C7" s="12" t="s">
        <v>27</v>
      </c>
      <c r="D7" s="13" t="s">
        <v>35</v>
      </c>
      <c r="E7" s="13" t="s">
        <v>36</v>
      </c>
      <c r="F7" s="12" t="s">
        <v>30</v>
      </c>
      <c r="G7" s="13" t="s">
        <v>16</v>
      </c>
      <c r="H7" s="13"/>
      <c r="I7" s="12"/>
      <c r="J7" s="13" t="s">
        <v>46</v>
      </c>
      <c r="K7" s="1" t="s">
        <v>159</v>
      </c>
      <c r="L7" s="1"/>
      <c r="M7" s="1" t="s">
        <v>160</v>
      </c>
    </row>
    <row r="8" spans="1:13" ht="51.95" customHeight="1" x14ac:dyDescent="0.25">
      <c r="A8" s="12" t="s">
        <v>37</v>
      </c>
      <c r="B8" s="12" t="s">
        <v>26</v>
      </c>
      <c r="C8" s="12" t="s">
        <v>27</v>
      </c>
      <c r="D8" s="13" t="s">
        <v>38</v>
      </c>
      <c r="E8" s="13" t="s">
        <v>39</v>
      </c>
      <c r="F8" s="12" t="s">
        <v>15</v>
      </c>
      <c r="G8" s="13" t="s">
        <v>16</v>
      </c>
      <c r="H8" s="13" t="s">
        <v>40</v>
      </c>
      <c r="I8" s="12" t="s">
        <v>41</v>
      </c>
      <c r="J8" s="13" t="s">
        <v>42</v>
      </c>
      <c r="K8" s="18" t="s">
        <v>161</v>
      </c>
      <c r="L8" s="1" t="s">
        <v>162</v>
      </c>
      <c r="M8" s="18" t="s">
        <v>163</v>
      </c>
    </row>
    <row r="9" spans="1:13" ht="51.95" customHeight="1" x14ac:dyDescent="0.25">
      <c r="A9" s="12" t="s">
        <v>43</v>
      </c>
      <c r="B9" s="12" t="s">
        <v>26</v>
      </c>
      <c r="C9" s="12" t="s">
        <v>27</v>
      </c>
      <c r="D9" s="13" t="s">
        <v>44</v>
      </c>
      <c r="E9" s="13" t="s">
        <v>45</v>
      </c>
      <c r="F9" s="12" t="s">
        <v>30</v>
      </c>
      <c r="G9" s="13" t="s">
        <v>16</v>
      </c>
      <c r="H9" s="13"/>
      <c r="I9" s="12"/>
      <c r="J9" s="13" t="s">
        <v>46</v>
      </c>
      <c r="K9" s="1" t="s">
        <v>159</v>
      </c>
      <c r="L9" s="1"/>
      <c r="M9" s="1" t="s">
        <v>160</v>
      </c>
    </row>
    <row r="10" spans="1:13" ht="51.95" customHeight="1" x14ac:dyDescent="0.25">
      <c r="A10" s="12" t="s">
        <v>164</v>
      </c>
      <c r="B10" s="12" t="s">
        <v>26</v>
      </c>
      <c r="C10" s="12" t="s">
        <v>27</v>
      </c>
      <c r="D10" s="13" t="s">
        <v>165</v>
      </c>
      <c r="E10" s="13" t="s">
        <v>166</v>
      </c>
      <c r="F10" s="12" t="s">
        <v>30</v>
      </c>
      <c r="G10" s="13" t="s">
        <v>16</v>
      </c>
      <c r="H10" s="13"/>
      <c r="I10" s="12"/>
      <c r="J10" s="13" t="s">
        <v>46</v>
      </c>
      <c r="K10" s="1" t="s">
        <v>159</v>
      </c>
      <c r="L10" s="1"/>
      <c r="M10" s="1" t="s">
        <v>160</v>
      </c>
    </row>
    <row r="11" spans="1:13" ht="51.95" customHeight="1" x14ac:dyDescent="0.25">
      <c r="A11" s="12" t="s">
        <v>167</v>
      </c>
      <c r="B11" s="12" t="s">
        <v>168</v>
      </c>
      <c r="C11" s="12" t="s">
        <v>49</v>
      </c>
      <c r="D11" s="13" t="s">
        <v>169</v>
      </c>
      <c r="E11" s="13" t="s">
        <v>170</v>
      </c>
      <c r="F11" s="12" t="s">
        <v>30</v>
      </c>
      <c r="G11" s="13" t="s">
        <v>16</v>
      </c>
      <c r="H11" s="13"/>
      <c r="I11" s="12"/>
      <c r="J11" s="13" t="s">
        <v>46</v>
      </c>
      <c r="K11" s="1" t="s">
        <v>159</v>
      </c>
      <c r="L11" s="1"/>
      <c r="M11" s="1" t="s">
        <v>160</v>
      </c>
    </row>
    <row r="12" spans="1:13" ht="51.95" customHeight="1" x14ac:dyDescent="0.25">
      <c r="A12" s="12" t="s">
        <v>47</v>
      </c>
      <c r="B12" s="12" t="s">
        <v>48</v>
      </c>
      <c r="C12" s="12" t="s">
        <v>49</v>
      </c>
      <c r="D12" s="13" t="s">
        <v>50</v>
      </c>
      <c r="E12" s="13" t="s">
        <v>171</v>
      </c>
      <c r="F12" s="12" t="s">
        <v>30</v>
      </c>
      <c r="G12" s="13" t="s">
        <v>16</v>
      </c>
      <c r="H12" s="13"/>
      <c r="I12" s="12"/>
      <c r="J12" s="13" t="s">
        <v>46</v>
      </c>
      <c r="K12" s="1" t="s">
        <v>159</v>
      </c>
      <c r="L12" s="1"/>
      <c r="M12" s="1" t="s">
        <v>160</v>
      </c>
    </row>
    <row r="13" spans="1:13" ht="51.95" customHeight="1" x14ac:dyDescent="0.25">
      <c r="A13" s="12" t="s">
        <v>51</v>
      </c>
      <c r="B13" s="12" t="s">
        <v>52</v>
      </c>
      <c r="C13" s="12" t="s">
        <v>53</v>
      </c>
      <c r="D13" s="13" t="s">
        <v>54</v>
      </c>
      <c r="E13" s="13" t="s">
        <v>172</v>
      </c>
      <c r="F13" s="12" t="s">
        <v>30</v>
      </c>
      <c r="G13" s="13" t="s">
        <v>16</v>
      </c>
      <c r="H13" s="13"/>
      <c r="I13" s="12"/>
      <c r="J13" s="13" t="s">
        <v>46</v>
      </c>
      <c r="K13" s="1" t="s">
        <v>159</v>
      </c>
      <c r="L13" s="1"/>
      <c r="M13" s="1" t="s">
        <v>160</v>
      </c>
    </row>
    <row r="14" spans="1:13" ht="51.95" customHeight="1" x14ac:dyDescent="0.25">
      <c r="A14" s="12" t="s">
        <v>55</v>
      </c>
      <c r="B14" s="12" t="s">
        <v>56</v>
      </c>
      <c r="C14" s="12" t="s">
        <v>53</v>
      </c>
      <c r="D14" s="13" t="s">
        <v>57</v>
      </c>
      <c r="E14" s="13" t="s">
        <v>173</v>
      </c>
      <c r="F14" s="12" t="s">
        <v>30</v>
      </c>
      <c r="G14" s="13" t="s">
        <v>16</v>
      </c>
      <c r="H14" s="13"/>
      <c r="I14" s="12"/>
      <c r="J14" s="13" t="s">
        <v>46</v>
      </c>
      <c r="K14" s="1" t="s">
        <v>159</v>
      </c>
      <c r="L14" s="1"/>
      <c r="M14" s="1" t="s">
        <v>160</v>
      </c>
    </row>
    <row r="15" spans="1:13" ht="51.95" customHeight="1" x14ac:dyDescent="0.25">
      <c r="A15" s="12" t="s">
        <v>58</v>
      </c>
      <c r="B15" s="12" t="s">
        <v>59</v>
      </c>
      <c r="C15" s="12" t="s">
        <v>49</v>
      </c>
      <c r="D15" s="13" t="s">
        <v>60</v>
      </c>
      <c r="E15" s="13" t="s">
        <v>174</v>
      </c>
      <c r="F15" s="12" t="s">
        <v>30</v>
      </c>
      <c r="G15" s="13" t="s">
        <v>16</v>
      </c>
      <c r="H15" s="13"/>
      <c r="I15" s="12"/>
      <c r="J15" s="13" t="s">
        <v>46</v>
      </c>
      <c r="K15" s="1" t="s">
        <v>159</v>
      </c>
      <c r="L15" s="1"/>
      <c r="M15" s="1" t="s">
        <v>160</v>
      </c>
    </row>
    <row r="16" spans="1:13" ht="51.95" customHeight="1" x14ac:dyDescent="0.25">
      <c r="A16" s="12" t="s">
        <v>61</v>
      </c>
      <c r="B16" s="12" t="s">
        <v>59</v>
      </c>
      <c r="C16" s="12" t="s">
        <v>49</v>
      </c>
      <c r="D16" s="13" t="s">
        <v>62</v>
      </c>
      <c r="E16" s="13" t="s">
        <v>175</v>
      </c>
      <c r="F16" s="12" t="s">
        <v>30</v>
      </c>
      <c r="G16" s="13" t="s">
        <v>16</v>
      </c>
      <c r="H16" s="13"/>
      <c r="I16" s="12"/>
      <c r="J16" s="13" t="s">
        <v>46</v>
      </c>
      <c r="K16" s="1" t="s">
        <v>159</v>
      </c>
      <c r="L16" s="1"/>
      <c r="M16" s="1" t="s">
        <v>160</v>
      </c>
    </row>
    <row r="17" spans="1:13" ht="51.95" customHeight="1" x14ac:dyDescent="0.25">
      <c r="A17" s="12" t="s">
        <v>63</v>
      </c>
      <c r="B17" s="12" t="s">
        <v>64</v>
      </c>
      <c r="C17" s="12" t="s">
        <v>65</v>
      </c>
      <c r="D17" s="13" t="s">
        <v>66</v>
      </c>
      <c r="E17" s="13" t="s">
        <v>176</v>
      </c>
      <c r="F17" s="12" t="s">
        <v>30</v>
      </c>
      <c r="G17" s="13" t="s">
        <v>16</v>
      </c>
      <c r="H17" s="13"/>
      <c r="I17" s="12"/>
      <c r="J17" s="13" t="s">
        <v>46</v>
      </c>
      <c r="K17" s="1" t="s">
        <v>159</v>
      </c>
      <c r="L17" s="1"/>
      <c r="M17" s="1" t="s">
        <v>160</v>
      </c>
    </row>
    <row r="18" spans="1:13" ht="51.95" customHeight="1" x14ac:dyDescent="0.25">
      <c r="A18" s="12" t="s">
        <v>67</v>
      </c>
      <c r="B18" s="12" t="s">
        <v>68</v>
      </c>
      <c r="C18" s="12" t="s">
        <v>69</v>
      </c>
      <c r="D18" s="13" t="s">
        <v>70</v>
      </c>
      <c r="E18" s="13" t="s">
        <v>177</v>
      </c>
      <c r="F18" s="12" t="s">
        <v>30</v>
      </c>
      <c r="G18" s="13" t="s">
        <v>16</v>
      </c>
      <c r="H18" s="13"/>
      <c r="I18" s="12"/>
      <c r="J18" s="13" t="s">
        <v>46</v>
      </c>
      <c r="K18" s="1" t="s">
        <v>159</v>
      </c>
      <c r="L18" s="1"/>
      <c r="M18" s="1" t="s">
        <v>160</v>
      </c>
    </row>
    <row r="19" spans="1:13" ht="51.95" customHeight="1" x14ac:dyDescent="0.25">
      <c r="A19" s="12" t="s">
        <v>71</v>
      </c>
      <c r="B19" s="12" t="s">
        <v>72</v>
      </c>
      <c r="C19" s="12" t="s">
        <v>69</v>
      </c>
      <c r="D19" s="13" t="s">
        <v>73</v>
      </c>
      <c r="E19" s="13" t="s">
        <v>178</v>
      </c>
      <c r="F19" s="12" t="s">
        <v>30</v>
      </c>
      <c r="G19" s="13" t="s">
        <v>16</v>
      </c>
      <c r="H19" s="13"/>
      <c r="I19" s="12"/>
      <c r="J19" s="13" t="s">
        <v>46</v>
      </c>
      <c r="K19" s="1" t="s">
        <v>159</v>
      </c>
      <c r="L19" s="1"/>
      <c r="M19" s="1" t="s">
        <v>160</v>
      </c>
    </row>
    <row r="20" spans="1:13" ht="51.95" customHeight="1" x14ac:dyDescent="0.25">
      <c r="A20" s="12" t="s">
        <v>74</v>
      </c>
      <c r="B20" s="12" t="s">
        <v>75</v>
      </c>
      <c r="C20" s="12" t="s">
        <v>76</v>
      </c>
      <c r="D20" s="13" t="s">
        <v>77</v>
      </c>
      <c r="E20" s="13" t="s">
        <v>179</v>
      </c>
      <c r="F20" s="12" t="s">
        <v>30</v>
      </c>
      <c r="G20" s="13" t="s">
        <v>16</v>
      </c>
      <c r="H20" s="13"/>
      <c r="I20" s="12"/>
      <c r="J20" s="13" t="s">
        <v>46</v>
      </c>
      <c r="K20" s="1" t="s">
        <v>159</v>
      </c>
      <c r="L20" s="1"/>
      <c r="M20" s="1" t="s">
        <v>160</v>
      </c>
    </row>
    <row r="21" spans="1:13" ht="51.95" customHeight="1" x14ac:dyDescent="0.25">
      <c r="A21" s="12" t="s">
        <v>78</v>
      </c>
      <c r="B21" s="12" t="s">
        <v>79</v>
      </c>
      <c r="C21" s="12" t="s">
        <v>76</v>
      </c>
      <c r="D21" s="13" t="s">
        <v>80</v>
      </c>
      <c r="E21" s="13" t="s">
        <v>180</v>
      </c>
      <c r="F21" s="12" t="s">
        <v>30</v>
      </c>
      <c r="G21" s="13" t="s">
        <v>16</v>
      </c>
      <c r="H21" s="13"/>
      <c r="I21" s="12"/>
      <c r="J21" s="13" t="s">
        <v>46</v>
      </c>
      <c r="K21" s="1" t="s">
        <v>159</v>
      </c>
      <c r="L21" s="1"/>
      <c r="M21" s="1" t="s">
        <v>160</v>
      </c>
    </row>
    <row r="22" spans="1:13" ht="51.95" customHeight="1" x14ac:dyDescent="0.25">
      <c r="A22" s="12" t="s">
        <v>81</v>
      </c>
      <c r="B22" s="12" t="s">
        <v>79</v>
      </c>
      <c r="C22" s="12" t="s">
        <v>76</v>
      </c>
      <c r="D22" s="13" t="s">
        <v>82</v>
      </c>
      <c r="E22" s="13" t="s">
        <v>181</v>
      </c>
      <c r="F22" s="12" t="s">
        <v>30</v>
      </c>
      <c r="G22" s="13" t="s">
        <v>16</v>
      </c>
      <c r="H22" s="13"/>
      <c r="I22" s="12"/>
      <c r="J22" s="13" t="s">
        <v>46</v>
      </c>
      <c r="K22" s="1" t="s">
        <v>159</v>
      </c>
      <c r="L22" s="1"/>
      <c r="M22" s="1" t="s">
        <v>160</v>
      </c>
    </row>
    <row r="23" spans="1:13" ht="51.95" customHeight="1" x14ac:dyDescent="0.25">
      <c r="A23" s="12" t="s">
        <v>83</v>
      </c>
      <c r="B23" s="12" t="s">
        <v>84</v>
      </c>
      <c r="C23" s="12" t="s">
        <v>85</v>
      </c>
      <c r="D23" s="13" t="s">
        <v>86</v>
      </c>
      <c r="E23" s="13" t="s">
        <v>182</v>
      </c>
      <c r="F23" s="12" t="s">
        <v>30</v>
      </c>
      <c r="G23" s="13" t="s">
        <v>16</v>
      </c>
      <c r="H23" s="13"/>
      <c r="I23" s="12"/>
      <c r="J23" s="13" t="s">
        <v>46</v>
      </c>
      <c r="K23" s="1" t="s">
        <v>159</v>
      </c>
      <c r="L23" s="1"/>
      <c r="M23" s="1" t="s">
        <v>160</v>
      </c>
    </row>
    <row r="24" spans="1:13" ht="51.95" customHeight="1" x14ac:dyDescent="0.25">
      <c r="A24" s="12" t="s">
        <v>87</v>
      </c>
      <c r="B24" s="12" t="s">
        <v>88</v>
      </c>
      <c r="C24" s="12" t="s">
        <v>85</v>
      </c>
      <c r="D24" s="13" t="s">
        <v>89</v>
      </c>
      <c r="E24" s="13" t="s">
        <v>183</v>
      </c>
      <c r="F24" s="12" t="s">
        <v>30</v>
      </c>
      <c r="G24" s="13" t="s">
        <v>16</v>
      </c>
      <c r="H24" s="13"/>
      <c r="I24" s="12"/>
      <c r="J24" s="13" t="s">
        <v>46</v>
      </c>
      <c r="K24" s="1" t="s">
        <v>159</v>
      </c>
      <c r="L24" s="1"/>
      <c r="M24" s="1" t="s">
        <v>160</v>
      </c>
    </row>
    <row r="25" spans="1:13" ht="51.95" customHeight="1" x14ac:dyDescent="0.25">
      <c r="A25" s="12" t="s">
        <v>90</v>
      </c>
      <c r="B25" s="12" t="s">
        <v>91</v>
      </c>
      <c r="C25" s="12" t="s">
        <v>92</v>
      </c>
      <c r="D25" s="13" t="s">
        <v>93</v>
      </c>
      <c r="E25" s="13" t="s">
        <v>184</v>
      </c>
      <c r="F25" s="12" t="s">
        <v>30</v>
      </c>
      <c r="G25" s="13" t="s">
        <v>16</v>
      </c>
      <c r="H25" s="13"/>
      <c r="I25" s="12"/>
      <c r="J25" s="13" t="s">
        <v>46</v>
      </c>
      <c r="K25" s="1" t="s">
        <v>159</v>
      </c>
      <c r="L25" s="1"/>
      <c r="M25" s="1" t="s">
        <v>160</v>
      </c>
    </row>
    <row r="26" spans="1:13" ht="51.95" customHeight="1" x14ac:dyDescent="0.25">
      <c r="A26" s="12" t="s">
        <v>94</v>
      </c>
      <c r="B26" s="12" t="s">
        <v>95</v>
      </c>
      <c r="C26" s="12" t="s">
        <v>92</v>
      </c>
      <c r="D26" s="13" t="s">
        <v>96</v>
      </c>
      <c r="E26" s="13" t="s">
        <v>185</v>
      </c>
      <c r="F26" s="12" t="s">
        <v>30</v>
      </c>
      <c r="G26" s="13" t="s">
        <v>16</v>
      </c>
      <c r="H26" s="13"/>
      <c r="I26" s="12"/>
      <c r="J26" s="13" t="s">
        <v>46</v>
      </c>
      <c r="K26" s="1" t="s">
        <v>159</v>
      </c>
      <c r="L26" s="1"/>
      <c r="M26" s="1" t="s">
        <v>160</v>
      </c>
    </row>
    <row r="27" spans="1:13" ht="51.95" customHeight="1" x14ac:dyDescent="0.25">
      <c r="A27" s="12" t="s">
        <v>97</v>
      </c>
      <c r="B27" s="12" t="s">
        <v>98</v>
      </c>
      <c r="C27" s="12" t="s">
        <v>92</v>
      </c>
      <c r="D27" s="13" t="s">
        <v>99</v>
      </c>
      <c r="E27" s="13" t="s">
        <v>186</v>
      </c>
      <c r="F27" s="12" t="s">
        <v>30</v>
      </c>
      <c r="G27" s="13" t="s">
        <v>16</v>
      </c>
      <c r="H27" s="13"/>
      <c r="I27" s="12"/>
      <c r="J27" s="13" t="s">
        <v>46</v>
      </c>
      <c r="K27" s="1" t="s">
        <v>159</v>
      </c>
      <c r="L27" s="1"/>
      <c r="M27" s="1" t="s">
        <v>160</v>
      </c>
    </row>
    <row r="28" spans="1:13" ht="51.95" customHeight="1" x14ac:dyDescent="0.25">
      <c r="A28" s="12" t="s">
        <v>100</v>
      </c>
      <c r="B28" s="12" t="s">
        <v>101</v>
      </c>
      <c r="C28" s="12" t="s">
        <v>102</v>
      </c>
      <c r="D28" s="13" t="s">
        <v>103</v>
      </c>
      <c r="E28" s="13" t="s">
        <v>187</v>
      </c>
      <c r="F28" s="12" t="s">
        <v>30</v>
      </c>
      <c r="G28" s="13" t="s">
        <v>16</v>
      </c>
      <c r="H28" s="13"/>
      <c r="I28" s="12"/>
      <c r="J28" s="13" t="s">
        <v>46</v>
      </c>
      <c r="K28" s="1" t="s">
        <v>159</v>
      </c>
      <c r="L28" s="1"/>
      <c r="M28" s="1" t="s">
        <v>160</v>
      </c>
    </row>
    <row r="29" spans="1:13" ht="51.95" customHeight="1" x14ac:dyDescent="0.25">
      <c r="A29" s="12" t="s">
        <v>104</v>
      </c>
      <c r="B29" s="12" t="s">
        <v>101</v>
      </c>
      <c r="C29" s="12" t="s">
        <v>102</v>
      </c>
      <c r="D29" s="13" t="s">
        <v>105</v>
      </c>
      <c r="E29" s="13" t="s">
        <v>188</v>
      </c>
      <c r="F29" s="12" t="s">
        <v>30</v>
      </c>
      <c r="G29" s="13" t="s">
        <v>16</v>
      </c>
      <c r="H29" s="13"/>
      <c r="I29" s="12"/>
      <c r="J29" s="13" t="s">
        <v>46</v>
      </c>
      <c r="K29" s="1" t="s">
        <v>159</v>
      </c>
      <c r="L29" s="1"/>
      <c r="M29" s="1" t="s">
        <v>160</v>
      </c>
    </row>
    <row r="30" spans="1:13" ht="51.95" customHeight="1" x14ac:dyDescent="0.25">
      <c r="A30" s="12" t="s">
        <v>106</v>
      </c>
      <c r="B30" s="12" t="s">
        <v>107</v>
      </c>
      <c r="C30" s="12" t="s">
        <v>102</v>
      </c>
      <c r="D30" s="13" t="s">
        <v>108</v>
      </c>
      <c r="E30" s="13" t="s">
        <v>189</v>
      </c>
      <c r="F30" s="12" t="s">
        <v>30</v>
      </c>
      <c r="G30" s="13" t="s">
        <v>16</v>
      </c>
      <c r="H30" s="13"/>
      <c r="I30" s="12"/>
      <c r="J30" s="13" t="s">
        <v>46</v>
      </c>
      <c r="K30" s="1" t="s">
        <v>159</v>
      </c>
      <c r="L30" s="1"/>
      <c r="M30" s="1" t="s">
        <v>160</v>
      </c>
    </row>
    <row r="31" spans="1:13" ht="51.95" customHeight="1" x14ac:dyDescent="0.25">
      <c r="A31" s="12" t="s">
        <v>109</v>
      </c>
      <c r="B31" s="12" t="s">
        <v>107</v>
      </c>
      <c r="C31" s="12" t="s">
        <v>102</v>
      </c>
      <c r="D31" s="13" t="s">
        <v>110</v>
      </c>
      <c r="E31" s="13" t="s">
        <v>190</v>
      </c>
      <c r="F31" s="12" t="s">
        <v>30</v>
      </c>
      <c r="G31" s="13" t="s">
        <v>16</v>
      </c>
      <c r="H31" s="13"/>
      <c r="I31" s="12"/>
      <c r="J31" s="13" t="s">
        <v>46</v>
      </c>
      <c r="K31" s="1" t="s">
        <v>159</v>
      </c>
      <c r="L31" s="1"/>
      <c r="M31" s="1" t="s">
        <v>160</v>
      </c>
    </row>
    <row r="32" spans="1:13" ht="51.95" customHeight="1" x14ac:dyDescent="0.25">
      <c r="A32" s="12" t="s">
        <v>111</v>
      </c>
      <c r="B32" s="12" t="s">
        <v>112</v>
      </c>
      <c r="C32" s="12" t="s">
        <v>102</v>
      </c>
      <c r="D32" s="13" t="s">
        <v>113</v>
      </c>
      <c r="E32" s="13" t="s">
        <v>191</v>
      </c>
      <c r="F32" s="12" t="s">
        <v>30</v>
      </c>
      <c r="G32" s="13" t="s">
        <v>16</v>
      </c>
      <c r="H32" s="13"/>
      <c r="I32" s="12"/>
      <c r="J32" s="13" t="s">
        <v>46</v>
      </c>
      <c r="K32" s="1" t="s">
        <v>159</v>
      </c>
      <c r="L32" s="1"/>
      <c r="M32" s="1" t="s">
        <v>160</v>
      </c>
    </row>
    <row r="33" spans="1:13" ht="51.95" customHeight="1" x14ac:dyDescent="0.25">
      <c r="A33" s="12" t="s">
        <v>114</v>
      </c>
      <c r="B33" s="12" t="s">
        <v>115</v>
      </c>
      <c r="C33" s="12" t="s">
        <v>116</v>
      </c>
      <c r="D33" s="13" t="s">
        <v>117</v>
      </c>
      <c r="E33" s="13" t="s">
        <v>192</v>
      </c>
      <c r="F33" s="12" t="s">
        <v>30</v>
      </c>
      <c r="G33" s="13" t="s">
        <v>16</v>
      </c>
      <c r="H33" s="13"/>
      <c r="I33" s="12"/>
      <c r="J33" s="13" t="s">
        <v>46</v>
      </c>
      <c r="K33" s="1" t="s">
        <v>159</v>
      </c>
      <c r="L33" s="1"/>
      <c r="M33" s="1" t="s">
        <v>160</v>
      </c>
    </row>
    <row r="34" spans="1:13" ht="51.95" customHeight="1" x14ac:dyDescent="0.25">
      <c r="A34" s="12" t="s">
        <v>118</v>
      </c>
      <c r="B34" s="12" t="s">
        <v>115</v>
      </c>
      <c r="C34" s="12" t="s">
        <v>116</v>
      </c>
      <c r="D34" s="13" t="s">
        <v>119</v>
      </c>
      <c r="E34" s="13" t="s">
        <v>193</v>
      </c>
      <c r="F34" s="12" t="s">
        <v>30</v>
      </c>
      <c r="G34" s="13" t="s">
        <v>16</v>
      </c>
      <c r="H34" s="13"/>
      <c r="I34" s="12"/>
      <c r="J34" s="13" t="s">
        <v>46</v>
      </c>
      <c r="K34" s="1" t="s">
        <v>159</v>
      </c>
      <c r="L34" s="1"/>
      <c r="M34" s="1" t="s">
        <v>160</v>
      </c>
    </row>
    <row r="35" spans="1:13" ht="51.95" customHeight="1" x14ac:dyDescent="0.25">
      <c r="A35" s="12" t="s">
        <v>120</v>
      </c>
      <c r="B35" s="12" t="s">
        <v>115</v>
      </c>
      <c r="C35" s="12" t="s">
        <v>116</v>
      </c>
      <c r="D35" s="13" t="s">
        <v>121</v>
      </c>
      <c r="E35" s="13" t="s">
        <v>194</v>
      </c>
      <c r="F35" s="12" t="s">
        <v>30</v>
      </c>
      <c r="G35" s="13" t="s">
        <v>16</v>
      </c>
      <c r="H35" s="13"/>
      <c r="I35" s="12"/>
      <c r="J35" s="13" t="s">
        <v>46</v>
      </c>
      <c r="K35" s="1" t="s">
        <v>159</v>
      </c>
      <c r="L35" s="1"/>
      <c r="M35" s="1" t="s">
        <v>160</v>
      </c>
    </row>
    <row r="36" spans="1:13" ht="51.95" customHeight="1" x14ac:dyDescent="0.25">
      <c r="A36" s="12" t="s">
        <v>122</v>
      </c>
      <c r="B36" s="12" t="s">
        <v>115</v>
      </c>
      <c r="C36" s="12" t="s">
        <v>116</v>
      </c>
      <c r="D36" s="13" t="s">
        <v>123</v>
      </c>
      <c r="E36" s="13" t="s">
        <v>195</v>
      </c>
      <c r="F36" s="12" t="s">
        <v>30</v>
      </c>
      <c r="G36" s="13" t="s">
        <v>16</v>
      </c>
      <c r="H36" s="13"/>
      <c r="I36" s="12"/>
      <c r="J36" s="13" t="s">
        <v>46</v>
      </c>
      <c r="K36" s="1" t="s">
        <v>159</v>
      </c>
      <c r="L36" s="1"/>
      <c r="M36" s="1" t="s">
        <v>160</v>
      </c>
    </row>
    <row r="37" spans="1:13" ht="51.95" customHeight="1" x14ac:dyDescent="0.25">
      <c r="A37" s="12" t="s">
        <v>124</v>
      </c>
      <c r="B37" s="12" t="s">
        <v>125</v>
      </c>
      <c r="C37" s="12" t="s">
        <v>126</v>
      </c>
      <c r="D37" s="13" t="s">
        <v>127</v>
      </c>
      <c r="E37" s="13" t="s">
        <v>196</v>
      </c>
      <c r="F37" s="12" t="s">
        <v>30</v>
      </c>
      <c r="G37" s="13" t="s">
        <v>16</v>
      </c>
      <c r="H37" s="13"/>
      <c r="I37" s="12"/>
      <c r="J37" s="13" t="s">
        <v>46</v>
      </c>
      <c r="K37" s="1" t="s">
        <v>159</v>
      </c>
      <c r="L37" s="1"/>
      <c r="M37" s="1" t="s">
        <v>160</v>
      </c>
    </row>
    <row r="38" spans="1:13" ht="51.95" customHeight="1" x14ac:dyDescent="0.25">
      <c r="A38" s="12" t="s">
        <v>128</v>
      </c>
      <c r="B38" s="12" t="s">
        <v>129</v>
      </c>
      <c r="C38" s="12" t="s">
        <v>130</v>
      </c>
      <c r="D38" s="13" t="s">
        <v>131</v>
      </c>
      <c r="E38" s="13" t="s">
        <v>197</v>
      </c>
      <c r="F38" s="12" t="s">
        <v>30</v>
      </c>
      <c r="G38" s="13" t="s">
        <v>16</v>
      </c>
      <c r="H38" s="13"/>
      <c r="I38" s="12"/>
      <c r="J38" s="13" t="s">
        <v>46</v>
      </c>
      <c r="K38" s="1" t="s">
        <v>159</v>
      </c>
      <c r="L38" s="1"/>
      <c r="M38" s="1" t="s">
        <v>160</v>
      </c>
    </row>
    <row r="39" spans="1:13" ht="51.95" customHeight="1" x14ac:dyDescent="0.25">
      <c r="A39" s="12" t="s">
        <v>132</v>
      </c>
      <c r="B39" s="12" t="s">
        <v>133</v>
      </c>
      <c r="C39" s="12" t="s">
        <v>130</v>
      </c>
      <c r="D39" s="13" t="s">
        <v>134</v>
      </c>
      <c r="E39" s="13" t="s">
        <v>198</v>
      </c>
      <c r="F39" s="12" t="s">
        <v>30</v>
      </c>
      <c r="G39" s="13" t="s">
        <v>16</v>
      </c>
      <c r="H39" s="13"/>
      <c r="I39" s="12"/>
      <c r="J39" s="13" t="s">
        <v>46</v>
      </c>
      <c r="K39" s="1" t="s">
        <v>159</v>
      </c>
      <c r="L39" s="1"/>
      <c r="M39" s="1" t="s">
        <v>160</v>
      </c>
    </row>
    <row r="40" spans="1:13" ht="51.95" customHeight="1" x14ac:dyDescent="0.25">
      <c r="A40" s="12" t="s">
        <v>135</v>
      </c>
      <c r="B40" s="12" t="s">
        <v>136</v>
      </c>
      <c r="C40" s="12" t="s">
        <v>137</v>
      </c>
      <c r="D40" s="13" t="s">
        <v>138</v>
      </c>
      <c r="E40" s="13" t="s">
        <v>199</v>
      </c>
      <c r="F40" s="12" t="s">
        <v>30</v>
      </c>
      <c r="G40" s="13" t="s">
        <v>16</v>
      </c>
      <c r="H40" s="13"/>
      <c r="I40" s="12"/>
      <c r="J40" s="13" t="s">
        <v>46</v>
      </c>
      <c r="K40" s="1" t="s">
        <v>159</v>
      </c>
      <c r="L40" s="1"/>
      <c r="M40" s="1" t="s">
        <v>160</v>
      </c>
    </row>
    <row r="41" spans="1:13" ht="51.95" customHeight="1" x14ac:dyDescent="0.25">
      <c r="A41" s="12" t="s">
        <v>139</v>
      </c>
      <c r="B41" s="12" t="s">
        <v>136</v>
      </c>
      <c r="C41" s="12" t="s">
        <v>137</v>
      </c>
      <c r="D41" s="13" t="s">
        <v>140</v>
      </c>
      <c r="E41" s="13" t="s">
        <v>200</v>
      </c>
      <c r="F41" s="12" t="s">
        <v>30</v>
      </c>
      <c r="G41" s="13" t="s">
        <v>201</v>
      </c>
      <c r="H41" s="13"/>
      <c r="I41" s="12"/>
      <c r="J41" s="13" t="s">
        <v>46</v>
      </c>
      <c r="K41" s="1" t="s">
        <v>159</v>
      </c>
      <c r="L41" s="1"/>
      <c r="M41" s="1" t="s">
        <v>160</v>
      </c>
    </row>
    <row r="42" spans="1:13" ht="51.95" customHeight="1" x14ac:dyDescent="0.25">
      <c r="A42" s="12" t="s">
        <v>141</v>
      </c>
      <c r="B42" s="12" t="s">
        <v>136</v>
      </c>
      <c r="C42" s="12" t="s">
        <v>137</v>
      </c>
      <c r="D42" s="13" t="s">
        <v>142</v>
      </c>
      <c r="E42" s="13" t="s">
        <v>202</v>
      </c>
      <c r="F42" s="12" t="s">
        <v>30</v>
      </c>
      <c r="G42" s="13" t="s">
        <v>203</v>
      </c>
      <c r="H42" s="13"/>
      <c r="I42" s="12"/>
      <c r="J42" s="13" t="s">
        <v>46</v>
      </c>
      <c r="K42" s="1" t="s">
        <v>159</v>
      </c>
      <c r="L42" s="1"/>
      <c r="M42" s="1" t="s">
        <v>160</v>
      </c>
    </row>
    <row r="43" spans="1:13" ht="51.95" customHeight="1" x14ac:dyDescent="0.25">
      <c r="A43" s="12" t="s">
        <v>143</v>
      </c>
      <c r="B43" s="12" t="s">
        <v>144</v>
      </c>
      <c r="C43" s="12" t="s">
        <v>145</v>
      </c>
      <c r="D43" s="13" t="s">
        <v>146</v>
      </c>
      <c r="E43" s="13" t="s">
        <v>204</v>
      </c>
      <c r="F43" s="12" t="s">
        <v>30</v>
      </c>
      <c r="G43" s="13" t="s">
        <v>205</v>
      </c>
      <c r="H43" s="13"/>
      <c r="I43" s="12"/>
      <c r="J43" s="13" t="s">
        <v>46</v>
      </c>
      <c r="K43" s="1" t="s">
        <v>159</v>
      </c>
      <c r="L43" s="1"/>
      <c r="M43" s="1" t="s">
        <v>160</v>
      </c>
    </row>
  </sheetData>
  <mergeCells count="1">
    <mergeCell ref="A1:J1"/>
  </mergeCells>
  <conditionalFormatting sqref="A3:J43">
    <cfRule type="expression" dxfId="4" priority="14">
      <formula>MOD(ROW(),2)=0</formula>
    </cfRule>
  </conditionalFormatting>
  <conditionalFormatting sqref="F3:F43">
    <cfRule type="expression" dxfId="3" priority="15">
      <formula>F3="Pass"</formula>
    </cfRule>
    <cfRule type="expression" dxfId="2" priority="16">
      <formula>F3="Fail"</formula>
    </cfRule>
    <cfRule type="expression" dxfId="1" priority="17">
      <formula>F3="Blocked"</formula>
    </cfRule>
    <cfRule type="expression" dxfId="0" priority="18">
      <formula>F3="Not Run"</formula>
    </cfRule>
  </conditionalFormatting>
  <dataValidations count="1">
    <dataValidation type="list" sqref="F3:F43" xr:uid="{00000000-0002-0000-0000-000000000000}">
      <formula1>"Pass,Fail,Blocked,Not Run"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workbookViewId="0"/>
  </sheetViews>
  <sheetFormatPr defaultRowHeight="15" x14ac:dyDescent="0.25"/>
  <cols>
    <col min="1" max="1" width="18" customWidth="1"/>
    <col min="2" max="2" width="38" customWidth="1"/>
    <col min="3" max="3" width="16" customWidth="1"/>
    <col min="4" max="4" width="23" customWidth="1"/>
    <col min="5" max="5" width="24" customWidth="1"/>
    <col min="6" max="6" width="30" customWidth="1"/>
    <col min="7" max="7" width="28" customWidth="1"/>
    <col min="8" max="8" width="34" customWidth="1"/>
  </cols>
  <sheetData>
    <row r="1" spans="1:8" ht="27.95" customHeight="1" x14ac:dyDescent="0.25">
      <c r="A1" s="35" t="s">
        <v>206</v>
      </c>
      <c r="B1" s="35"/>
      <c r="C1" s="35"/>
      <c r="D1" s="35"/>
      <c r="E1" s="35"/>
      <c r="F1" s="35"/>
      <c r="G1" s="35"/>
      <c r="H1" s="35"/>
    </row>
    <row r="2" spans="1:8" x14ac:dyDescent="0.25">
      <c r="A2" s="6"/>
      <c r="B2" s="6"/>
      <c r="C2" s="7"/>
      <c r="D2" s="7"/>
      <c r="E2" s="7"/>
      <c r="F2" s="7"/>
      <c r="G2" s="7"/>
      <c r="H2" s="7"/>
    </row>
    <row r="3" spans="1:8" ht="24" customHeight="1" x14ac:dyDescent="0.25">
      <c r="A3" s="19" t="s">
        <v>207</v>
      </c>
      <c r="B3" s="8" t="s">
        <v>208</v>
      </c>
      <c r="C3" s="7"/>
      <c r="D3" s="20" t="s">
        <v>209</v>
      </c>
      <c r="E3" s="20" t="s">
        <v>210</v>
      </c>
      <c r="F3" s="7"/>
      <c r="G3" s="20" t="s">
        <v>211</v>
      </c>
      <c r="H3" s="20" t="s">
        <v>210</v>
      </c>
    </row>
    <row r="4" spans="1:8" ht="24" customHeight="1" x14ac:dyDescent="0.25">
      <c r="A4" s="19" t="s">
        <v>212</v>
      </c>
      <c r="B4" s="8" t="s">
        <v>213</v>
      </c>
      <c r="C4" s="7"/>
      <c r="D4" s="21" t="s">
        <v>214</v>
      </c>
      <c r="E4" s="10">
        <f>COUNTA('Execution Log'!A3:A43)</f>
        <v>41</v>
      </c>
      <c r="F4" s="7"/>
      <c r="G4" s="21" t="s">
        <v>215</v>
      </c>
      <c r="H4" s="27">
        <f>COUNTIF('Execution Log'!M3:M43,"Pass - unchanged")+COUNTIF('Execution Log'!M3:M43,"Pass after BG-27 fix")+COUNTIF('Execution Log'!M3:M43,"Pass after BG-27 blocker removed")</f>
        <v>40</v>
      </c>
    </row>
    <row r="5" spans="1:8" ht="24" customHeight="1" x14ac:dyDescent="0.25">
      <c r="A5" s="19" t="s">
        <v>216</v>
      </c>
      <c r="B5" s="8" t="s">
        <v>217</v>
      </c>
      <c r="C5" s="7"/>
      <c r="D5" s="21" t="s">
        <v>30</v>
      </c>
      <c r="E5" s="23">
        <f>COUNTIF('Execution Log'!F3:F43,"Pass")</f>
        <v>38</v>
      </c>
      <c r="F5" s="7"/>
      <c r="G5" s="21" t="s">
        <v>218</v>
      </c>
      <c r="H5" s="28">
        <f>COUNTIF('Execution Log'!M3:M43,"Closed - Not Reproducible (BG-28); observation retained")</f>
        <v>1</v>
      </c>
    </row>
    <row r="6" spans="1:8" ht="24" customHeight="1" x14ac:dyDescent="0.25">
      <c r="A6" s="19" t="s">
        <v>219</v>
      </c>
      <c r="B6" s="8" t="s">
        <v>217</v>
      </c>
      <c r="C6" s="7"/>
      <c r="D6" s="21" t="s">
        <v>15</v>
      </c>
      <c r="E6" s="24">
        <f>COUNTIF('Execution Log'!F3:F43,"Fail")</f>
        <v>2</v>
      </c>
      <c r="F6" s="7"/>
      <c r="G6" s="21" t="s">
        <v>220</v>
      </c>
      <c r="H6" s="27">
        <f>COUNTIF('Execution Log'!M3:M43,"Fail")</f>
        <v>0</v>
      </c>
    </row>
    <row r="7" spans="1:8" ht="24" customHeight="1" x14ac:dyDescent="0.25">
      <c r="A7" s="19" t="s">
        <v>221</v>
      </c>
      <c r="B7" s="8" t="s">
        <v>222</v>
      </c>
      <c r="C7" s="7"/>
      <c r="D7" s="21" t="s">
        <v>24</v>
      </c>
      <c r="E7" s="25">
        <f>COUNTIF('Execution Log'!F3:F43,"Blocked")</f>
        <v>1</v>
      </c>
      <c r="F7" s="7"/>
      <c r="G7" s="21" t="s">
        <v>24</v>
      </c>
      <c r="H7" s="27">
        <f>COUNTIF('Execution Log'!M3:M43,"Blocked")</f>
        <v>0</v>
      </c>
    </row>
    <row r="8" spans="1:8" ht="24" customHeight="1" x14ac:dyDescent="0.25">
      <c r="A8" s="7"/>
      <c r="B8" s="7"/>
      <c r="C8" s="7"/>
      <c r="D8" s="21" t="s">
        <v>223</v>
      </c>
      <c r="E8" s="4">
        <f>COUNTIF('Execution Log'!F3:F43,"Not Run")</f>
        <v>0</v>
      </c>
      <c r="F8" s="7"/>
      <c r="G8" s="21" t="s">
        <v>224</v>
      </c>
      <c r="H8" s="27">
        <v>0</v>
      </c>
    </row>
    <row r="9" spans="1:8" ht="24" customHeight="1" x14ac:dyDescent="0.25">
      <c r="A9" s="6"/>
      <c r="B9" s="6"/>
      <c r="C9" s="6"/>
      <c r="D9" s="21" t="s">
        <v>225</v>
      </c>
      <c r="E9" s="11">
        <f>(E5+E6+E7)/E4</f>
        <v>1</v>
      </c>
      <c r="F9" s="7"/>
      <c r="G9" s="21" t="s">
        <v>226</v>
      </c>
      <c r="H9" s="7">
        <v>2</v>
      </c>
    </row>
    <row r="10" spans="1:8" ht="24" customHeight="1" x14ac:dyDescent="0.25">
      <c r="A10" s="5"/>
      <c r="B10" s="5"/>
      <c r="C10" s="5"/>
      <c r="D10" s="22" t="s">
        <v>227</v>
      </c>
      <c r="E10" s="11">
        <f>E5/E4</f>
        <v>0.92682926829268297</v>
      </c>
      <c r="F10" s="7"/>
      <c r="G10" s="21" t="s">
        <v>228</v>
      </c>
      <c r="H10" s="26">
        <f>(H4+H5)/E4</f>
        <v>1</v>
      </c>
    </row>
    <row r="11" spans="1:8" ht="24" customHeight="1" x14ac:dyDescent="0.25">
      <c r="A11" s="9"/>
      <c r="B11" s="8"/>
      <c r="C11" s="9"/>
      <c r="D11" s="8"/>
      <c r="E11" s="7"/>
      <c r="F11" s="7"/>
      <c r="G11" s="7"/>
      <c r="H11" s="7"/>
    </row>
    <row r="12" spans="1:8" ht="24" customHeight="1" x14ac:dyDescent="0.25">
      <c r="A12" s="36" t="s">
        <v>229</v>
      </c>
      <c r="B12" s="36"/>
      <c r="C12" s="36"/>
      <c r="D12" s="36"/>
      <c r="E12" s="20"/>
      <c r="F12" s="20"/>
      <c r="G12" s="20"/>
      <c r="H12" s="20"/>
    </row>
    <row r="13" spans="1:8" ht="42" customHeight="1" x14ac:dyDescent="0.25">
      <c r="A13" s="29" t="s">
        <v>8</v>
      </c>
      <c r="B13" s="29" t="s">
        <v>230</v>
      </c>
      <c r="C13" s="29" t="s">
        <v>231</v>
      </c>
      <c r="D13" s="29" t="s">
        <v>232</v>
      </c>
      <c r="E13" s="29" t="s">
        <v>233</v>
      </c>
      <c r="F13" s="29" t="s">
        <v>234</v>
      </c>
      <c r="G13" s="29" t="s">
        <v>235</v>
      </c>
      <c r="H13" s="29" t="s">
        <v>236</v>
      </c>
    </row>
    <row r="14" spans="1:8" ht="68.099999999999994" customHeight="1" x14ac:dyDescent="0.25">
      <c r="A14" s="9" t="s">
        <v>18</v>
      </c>
      <c r="B14" s="8" t="s">
        <v>237</v>
      </c>
      <c r="C14" s="30" t="s">
        <v>238</v>
      </c>
      <c r="D14" s="31" t="s">
        <v>239</v>
      </c>
      <c r="E14" s="8" t="s">
        <v>240</v>
      </c>
      <c r="F14" s="8" t="s">
        <v>241</v>
      </c>
      <c r="G14" s="8" t="s">
        <v>242</v>
      </c>
      <c r="H14" s="8" t="s">
        <v>243</v>
      </c>
    </row>
    <row r="15" spans="1:8" ht="68.099999999999994" customHeight="1" x14ac:dyDescent="0.25">
      <c r="A15" s="9" t="s">
        <v>41</v>
      </c>
      <c r="B15" s="8" t="s">
        <v>244</v>
      </c>
      <c r="C15" s="32" t="s">
        <v>238</v>
      </c>
      <c r="D15" s="33" t="s">
        <v>245</v>
      </c>
      <c r="E15" s="8" t="s">
        <v>37</v>
      </c>
      <c r="F15" s="8" t="s">
        <v>246</v>
      </c>
      <c r="G15" s="8" t="s">
        <v>247</v>
      </c>
      <c r="H15" s="8" t="s">
        <v>248</v>
      </c>
    </row>
    <row r="16" spans="1:8" ht="24" customHeight="1" x14ac:dyDescent="0.25">
      <c r="A16" s="8"/>
      <c r="B16" s="8"/>
      <c r="C16" s="8"/>
      <c r="D16" s="8"/>
      <c r="E16" s="8"/>
      <c r="F16" s="8"/>
      <c r="G16" s="8"/>
      <c r="H16" s="8"/>
    </row>
    <row r="17" spans="1:8" ht="24" customHeight="1" x14ac:dyDescent="0.25">
      <c r="A17" s="8"/>
      <c r="B17" s="8"/>
      <c r="C17" s="8"/>
      <c r="D17" s="8"/>
      <c r="E17" s="8"/>
      <c r="F17" s="8"/>
      <c r="G17" s="8"/>
      <c r="H17" s="8"/>
    </row>
    <row r="18" spans="1:8" ht="30" customHeight="1" x14ac:dyDescent="0.25">
      <c r="A18" s="37" t="s">
        <v>249</v>
      </c>
      <c r="B18" s="37"/>
      <c r="C18" s="37"/>
      <c r="D18" s="37"/>
      <c r="E18" s="37"/>
      <c r="F18" s="37"/>
      <c r="G18" s="37"/>
      <c r="H18" s="37"/>
    </row>
    <row r="19" spans="1:8" ht="30" customHeight="1" x14ac:dyDescent="0.25">
      <c r="A19" s="37"/>
      <c r="B19" s="37"/>
      <c r="C19" s="37"/>
      <c r="D19" s="37"/>
      <c r="E19" s="37"/>
      <c r="F19" s="37"/>
      <c r="G19" s="37"/>
      <c r="H19" s="37"/>
    </row>
    <row r="20" spans="1:8" ht="30" customHeight="1" x14ac:dyDescent="0.25">
      <c r="A20" s="37"/>
      <c r="B20" s="37"/>
      <c r="C20" s="37"/>
      <c r="D20" s="37"/>
      <c r="E20" s="37"/>
      <c r="F20" s="37"/>
      <c r="G20" s="37"/>
      <c r="H20" s="37"/>
    </row>
    <row r="21" spans="1:8" ht="24" customHeight="1" x14ac:dyDescent="0.25">
      <c r="A21" s="3"/>
      <c r="B21" s="3"/>
      <c r="C21" s="3"/>
      <c r="D21" s="3"/>
      <c r="E21" s="3"/>
      <c r="F21" s="3"/>
      <c r="G21" s="3"/>
      <c r="H21" s="3"/>
    </row>
    <row r="22" spans="1:8" ht="27.95" customHeight="1" x14ac:dyDescent="0.25">
      <c r="A22" s="38" t="s">
        <v>250</v>
      </c>
      <c r="B22" s="38"/>
      <c r="C22" s="38"/>
      <c r="D22" s="38"/>
      <c r="E22" s="38"/>
      <c r="F22" s="38"/>
      <c r="G22" s="38"/>
      <c r="H22" s="38"/>
    </row>
    <row r="23" spans="1:8" ht="27.95" customHeight="1" x14ac:dyDescent="0.25">
      <c r="A23" s="39"/>
      <c r="B23" s="39"/>
      <c r="C23" s="39"/>
      <c r="D23" s="39"/>
      <c r="E23" s="39"/>
      <c r="F23" s="39"/>
      <c r="G23" s="39"/>
      <c r="H23" s="39"/>
    </row>
  </sheetData>
  <mergeCells count="4">
    <mergeCell ref="A1:H1"/>
    <mergeCell ref="A12:D12"/>
    <mergeCell ref="A18:H20"/>
    <mergeCell ref="A22:H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Log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Fatogun</dc:creator>
  <cp:lastModifiedBy>Alex Fatogun</cp:lastModifiedBy>
  <dcterms:created xsi:type="dcterms:W3CDTF">2026-08-10T20:15:30Z</dcterms:created>
  <dcterms:modified xsi:type="dcterms:W3CDTF">2026-08-10T20:15:30Z</dcterms:modified>
</cp:coreProperties>
</file>